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ence\Documents\GitHub\Wilamp_DCU\mft\pca\BOM\"/>
    </mc:Choice>
  </mc:AlternateContent>
  <bookViews>
    <workbookView xWindow="0" yWindow="0" windowWidth="23040" windowHeight="8820"/>
  </bookViews>
  <sheets>
    <sheet name="My Lists Worksheet" sheetId="1" r:id="rId1"/>
    <sheet name="bom" sheetId="2" r:id="rId2"/>
  </sheets>
  <definedNames>
    <definedName name="_xlnm._FilterDatabase" localSheetId="1" hidden="1">bom!$B$1:$D$85</definedName>
    <definedName name="_xlnm._FilterDatabase" localSheetId="0" hidden="1">'My Lists Worksheet'!$A$1:$K$85</definedName>
    <definedName name="Wilamp_DCU_2.0" localSheetId="1">bom!$A$1:$D$85</definedName>
  </definedNames>
  <calcPr calcId="162913"/>
</workbook>
</file>

<file path=xl/calcChain.xml><?xml version="1.0" encoding="utf-8"?>
<calcChain xmlns="http://schemas.openxmlformats.org/spreadsheetml/2006/main">
  <c r="E5" i="2" l="1"/>
  <c r="E4" i="2"/>
</calcChain>
</file>

<file path=xl/connections.xml><?xml version="1.0" encoding="utf-8"?>
<connections xmlns="http://schemas.openxmlformats.org/spreadsheetml/2006/main">
  <connection id="1" name="Wilamp_DCU 2.0" type="6" refreshedVersion="6" background="1" saveData="1">
    <textPr sourceFile="C:\Users\Lorence\Documents\GitHub\Wilamp_DCU\mft\pca\BOM\Wilamp_DCU 2.0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<sst xmlns="http://schemas.openxmlformats.org/spreadsheetml/2006/main" count="745" uniqueCount="389">
  <si>
    <t>Index</t>
  </si>
  <si>
    <t>Manufacturer Part Number</t>
  </si>
  <si>
    <t>Manufacturer Name</t>
  </si>
  <si>
    <t>Description</t>
  </si>
  <si>
    <t>Availability</t>
  </si>
  <si>
    <t>Stock Status</t>
  </si>
  <si>
    <t>KX122-1037</t>
  </si>
  <si>
    <t>Kionix Inc.</t>
  </si>
  <si>
    <t>ACCELEROMETER 2-8G I2C/SPI 12LGA</t>
  </si>
  <si>
    <t/>
  </si>
  <si>
    <t>RBR2LAM60BTFTR</t>
  </si>
  <si>
    <t>Rohm Semiconductor</t>
  </si>
  <si>
    <t>AUTOMOTIVE SCHOTTKY BARRIER DIOD</t>
  </si>
  <si>
    <t>757</t>
  </si>
  <si>
    <t>In Stock - Non-Stock</t>
  </si>
  <si>
    <t>GRM155R71E153KA61D</t>
  </si>
  <si>
    <t>Murata Electronics</t>
  </si>
  <si>
    <t>CAP CER 0.015UF 25V X7R 0402</t>
  </si>
  <si>
    <t>1,775,415</t>
  </si>
  <si>
    <t>In Stock</t>
  </si>
  <si>
    <t>GRM155R71E333KA88D</t>
  </si>
  <si>
    <t>CAP CER 0.033UF 25V X7R 0402</t>
  </si>
  <si>
    <t>134,237</t>
  </si>
  <si>
    <t>CL05B104KO3LNNC</t>
  </si>
  <si>
    <t>Samsung Electro-Mechanics</t>
  </si>
  <si>
    <t>CAP CER 0.1UF 16V X7R 0402</t>
  </si>
  <si>
    <t>616,420</t>
  </si>
  <si>
    <t>C0805C104K5RAC7800</t>
  </si>
  <si>
    <t>KEMET</t>
  </si>
  <si>
    <t>CAP CER 0.1UF 50V X7R 0805</t>
  </si>
  <si>
    <t>3,822,686</t>
  </si>
  <si>
    <t>GCM21BR72A104KA37L</t>
  </si>
  <si>
    <t>CAP CER 0.1UF 100V X7R 0805</t>
  </si>
  <si>
    <t>8,937,214</t>
  </si>
  <si>
    <t>GRM188R61E105KA12D</t>
  </si>
  <si>
    <t>CAP CER 1UF 25V X5R 0603</t>
  </si>
  <si>
    <t>Obsolete</t>
  </si>
  <si>
    <t>C1608X5R1V225K080AC</t>
  </si>
  <si>
    <t>TDK Corporation</t>
  </si>
  <si>
    <t>CAP CER 2.2UF 35V X5R 0603</t>
  </si>
  <si>
    <t>37,512</t>
  </si>
  <si>
    <t>GRM219R60J106KE19D</t>
  </si>
  <si>
    <t>CAP CER 10UF 6.3V X5R 0805</t>
  </si>
  <si>
    <t>GRM32ER7YA106KA12L</t>
  </si>
  <si>
    <t>CAP CER 10UF 35V X7R 1210</t>
  </si>
  <si>
    <t>93,497</t>
  </si>
  <si>
    <t>GRM31CR61A476KE15L</t>
  </si>
  <si>
    <t>CAP CER 47UF 10V X5R 1206</t>
  </si>
  <si>
    <t>0</t>
  </si>
  <si>
    <t>Normally Stocking</t>
  </si>
  <si>
    <t>GRM155R71H102KA01D</t>
  </si>
  <si>
    <t>CAP CER 1000PF 50V X7R 0402</t>
  </si>
  <si>
    <t>5,271,308</t>
  </si>
  <si>
    <t>08055C222KAT2A</t>
  </si>
  <si>
    <t>KYOCERA AVX</t>
  </si>
  <si>
    <t>CAP CER 2200PF 50V X7R 0805</t>
  </si>
  <si>
    <t>159,944</t>
  </si>
  <si>
    <t>C0603C222K5RAC7867</t>
  </si>
  <si>
    <t>CAP CER 2200PF 50V X7R 0603</t>
  </si>
  <si>
    <t>723,672</t>
  </si>
  <si>
    <t>0901200122</t>
  </si>
  <si>
    <t>Molex</t>
  </si>
  <si>
    <t>CONN HEADER VERT 2POS 2.54MM</t>
  </si>
  <si>
    <t>68,943</t>
  </si>
  <si>
    <t>0022284070</t>
  </si>
  <si>
    <t>CONN HEADER VERT 7POS 2.54MM</t>
  </si>
  <si>
    <t>Value Added</t>
  </si>
  <si>
    <t>PJ-002AH</t>
  </si>
  <si>
    <t>CUI Devices</t>
  </si>
  <si>
    <t>CONN PWR JACK 2X5.5MM SOLDER</t>
  </si>
  <si>
    <t>100,740</t>
  </si>
  <si>
    <t>SSW-123-01-S-D</t>
  </si>
  <si>
    <t>Samtec Inc.</t>
  </si>
  <si>
    <t>CONN RCPT 46POS 0.1 GOLD PCB</t>
  </si>
  <si>
    <t>385</t>
  </si>
  <si>
    <t>In Stock - Value Added</t>
  </si>
  <si>
    <t>UX60SC-MB-5ST(80)</t>
  </si>
  <si>
    <t>Hirose Electric Co Ltd</t>
  </si>
  <si>
    <t>CONN RCPT USB2.0 MINI B SMD R/A</t>
  </si>
  <si>
    <t>21,460</t>
  </si>
  <si>
    <t>BLM31KN102SN1L</t>
  </si>
  <si>
    <t>FERRITE BEAD 1 KOHM 1206 1LN</t>
  </si>
  <si>
    <t>3,407</t>
  </si>
  <si>
    <t>BLM21PG121SN1D</t>
  </si>
  <si>
    <t>FERRITE BEAD 120 OHM 0805 1LN</t>
  </si>
  <si>
    <t>ATSHA204A-SSHDA-T</t>
  </si>
  <si>
    <t>Microchip Technology</t>
  </si>
  <si>
    <t>IC AUTHENTICATION CHIP 8SOIC</t>
  </si>
  <si>
    <t>NUD3124LT1G</t>
  </si>
  <si>
    <t>onsemi</t>
  </si>
  <si>
    <t>IC PWR DRVR N-CHAN 1:1 SOT23-3</t>
  </si>
  <si>
    <t>71</t>
  </si>
  <si>
    <t>NC7S04M5X</t>
  </si>
  <si>
    <t>IC INVERTER 1CH 1-INP SOT23-5</t>
  </si>
  <si>
    <t>DS3231MZ+</t>
  </si>
  <si>
    <t>Analog Devices Inc./Maxim Integrated</t>
  </si>
  <si>
    <t>IC RTC CLK/CALENDAR I2C 8-SOIC</t>
  </si>
  <si>
    <t>VLMB1500-GS08</t>
  </si>
  <si>
    <t>Vishay Semiconductor Opto Division</t>
  </si>
  <si>
    <t>LED BLUE 0402 SMD</t>
  </si>
  <si>
    <t>303,972</t>
  </si>
  <si>
    <t>LTST-C191TBKT</t>
  </si>
  <si>
    <t>Lite-On Inc.</t>
  </si>
  <si>
    <t>LED BLUE CLEAR CHIP SMD</t>
  </si>
  <si>
    <t>238,419</t>
  </si>
  <si>
    <t>LS R976-NR-1</t>
  </si>
  <si>
    <t>OSRAM Opto Semiconductors Inc.</t>
  </si>
  <si>
    <t>LED RED DIFFUSED 0805 SMD</t>
  </si>
  <si>
    <t>392,981</t>
  </si>
  <si>
    <t>LNJ347W83RA</t>
  </si>
  <si>
    <t>Panasonic Electronic Components</t>
  </si>
  <si>
    <t>LED GREEN 1005 SMD</t>
  </si>
  <si>
    <t>LNJ247W82RA</t>
  </si>
  <si>
    <t>LED RED 1005 SMD</t>
  </si>
  <si>
    <t>PIC18F25K22T-I/SS</t>
  </si>
  <si>
    <t>IC MCU 8BIT 32KB FLASH 28SSOP</t>
  </si>
  <si>
    <t>RC1206JR-070RL</t>
  </si>
  <si>
    <t>YAGEO</t>
  </si>
  <si>
    <t>RES 0 OHM JUMPER 1/4W 1206</t>
  </si>
  <si>
    <t>2,391,309</t>
  </si>
  <si>
    <t>RC0805JR-070RL</t>
  </si>
  <si>
    <t>RES 0 OHM JUMPER 1/8W 0805</t>
  </si>
  <si>
    <t>1,837,791</t>
  </si>
  <si>
    <t>CRCW04020000Z0ED</t>
  </si>
  <si>
    <t>Vishay Dale</t>
  </si>
  <si>
    <t>RES SMD 0 OHM JUMPER 1/16W 0402</t>
  </si>
  <si>
    <t>MCS04020C1001FE000</t>
  </si>
  <si>
    <t>Vishay Beyschlag/Draloric/BC Components</t>
  </si>
  <si>
    <t>RES SMD 1K OHM 1% 1/10W 0402</t>
  </si>
  <si>
    <t>9,145</t>
  </si>
  <si>
    <t>ERJ-3EKF1001V</t>
  </si>
  <si>
    <t>RES SMD 1K OHM 1% 1/10W 0603</t>
  </si>
  <si>
    <t>CRCW04021K00FKED</t>
  </si>
  <si>
    <t>RES SMD 1K OHM 1% 1/16W 0402</t>
  </si>
  <si>
    <t>CPF0603F1K0C1</t>
  </si>
  <si>
    <t>TE Connectivity Passive Product</t>
  </si>
  <si>
    <t>RES SMD 1K OHM 1% 1/16W 0603</t>
  </si>
  <si>
    <t>259,898</t>
  </si>
  <si>
    <t>ERJ-2RKF2201X</t>
  </si>
  <si>
    <t>RES SMD 2.2K OHM 1% 1/10W 0402</t>
  </si>
  <si>
    <t>ERA-3AEB472V</t>
  </si>
  <si>
    <t>RES SMD 4.7K OHM 0.1% 1/10W 0603</t>
  </si>
  <si>
    <t>RC0402JR-074K7L</t>
  </si>
  <si>
    <t>RES 4.7K OHM 5% 1/16W 0402</t>
  </si>
  <si>
    <t>3,588,327</t>
  </si>
  <si>
    <t>CRCW04025K23FKED</t>
  </si>
  <si>
    <t>RES SMD 5.23K OHM 1% 1/16W 0402</t>
  </si>
  <si>
    <t>135,888</t>
  </si>
  <si>
    <t>RT0402BRD076K81L</t>
  </si>
  <si>
    <t>RES SMD 6.81KOHM 0.1% 1/16W 0402</t>
  </si>
  <si>
    <t>920</t>
  </si>
  <si>
    <t>CRCW040210K0FKEDHP</t>
  </si>
  <si>
    <t>RES SMD 10K OHM 1% 1/5W 0402</t>
  </si>
  <si>
    <t>CRCW040210K0JNED</t>
  </si>
  <si>
    <t>RES SMD 10K OHM 5% 1/16W 0402</t>
  </si>
  <si>
    <t>CRCW0402100KFKED</t>
  </si>
  <si>
    <t>RES SMD 100K OHM 1% 1/16W 0402</t>
  </si>
  <si>
    <t>CRCW0402150KFKED</t>
  </si>
  <si>
    <t>RES SMD 150K OHM 1% 1/16W 0402</t>
  </si>
  <si>
    <t>RC0402JR-07220RL</t>
  </si>
  <si>
    <t>RES 220 OHM 5% 1/16W 0402</t>
  </si>
  <si>
    <t>1,023,827</t>
  </si>
  <si>
    <t>CRCW0402330RFKED</t>
  </si>
  <si>
    <t>RES SMD 330 OHM 1% 1/16W 0402</t>
  </si>
  <si>
    <t>KMR231GLFS</t>
  </si>
  <si>
    <t>C&amp;K</t>
  </si>
  <si>
    <t>SWITCH TACTILE SPST-NO 0.05A 32V</t>
  </si>
  <si>
    <t>145,935</t>
  </si>
  <si>
    <t>LMR24220TL/NOPB</t>
  </si>
  <si>
    <t>Texas Instruments</t>
  </si>
  <si>
    <t>IC REG BUCK ADJUSTABLE 2A 28USMD</t>
  </si>
  <si>
    <t>3000TR</t>
  </si>
  <si>
    <t>Keystone Electronics</t>
  </si>
  <si>
    <t>BATT RETAINER COIN 12MM 1CEL SMD</t>
  </si>
  <si>
    <t>ABM8-32.000MHZ-9-D1G-T</t>
  </si>
  <si>
    <t>Abracon LLC</t>
  </si>
  <si>
    <t>CRYSTAL 32.0000MHZ 9PF SMD</t>
  </si>
  <si>
    <t>1,283</t>
  </si>
  <si>
    <t>ATSHA204A-XHDA-T</t>
  </si>
  <si>
    <t>IC AUTHENTICATION CHIP 8TSSOP</t>
  </si>
  <si>
    <t>3,885</t>
  </si>
  <si>
    <t>GRM155R71E103KA01D</t>
  </si>
  <si>
    <t>CAP CER 10000PF 25V X7R 0402</t>
  </si>
  <si>
    <t>8,602,481</t>
  </si>
  <si>
    <t>GRM155R71H104ME14D</t>
  </si>
  <si>
    <t>CAP CER 0.1UF 50V X7R 0402</t>
  </si>
  <si>
    <t>1,244,448</t>
  </si>
  <si>
    <t>GRM1555C1H1R0CA01D</t>
  </si>
  <si>
    <t>CAP CER 1PF 50V C0G/NP0 0402</t>
  </si>
  <si>
    <t>443,503</t>
  </si>
  <si>
    <t>GRM1555C1H1R2CA01D</t>
  </si>
  <si>
    <t>CAP CER 1.2PF 50V C0G/NP0 0402</t>
  </si>
  <si>
    <t>1,367,942</t>
  </si>
  <si>
    <t>GRM1555C1H1R8CA01D</t>
  </si>
  <si>
    <t>CAP CER 1.8PF 50V C0G/NP0 0402</t>
  </si>
  <si>
    <t>350,711</t>
  </si>
  <si>
    <t>GRM1555C1H100JA01D</t>
  </si>
  <si>
    <t>CAP CER 10PF 50V C0G/NP0 0402</t>
  </si>
  <si>
    <t>3,697,903</t>
  </si>
  <si>
    <t>GRM1555C1H120JA01D</t>
  </si>
  <si>
    <t>CAP CER 12PF 50V C0G/NP0 0402</t>
  </si>
  <si>
    <t>2,292,571</t>
  </si>
  <si>
    <t>GRM1555C1H470JA01D</t>
  </si>
  <si>
    <t>CAP CER 47PF 50V C0G/NP0 0402</t>
  </si>
  <si>
    <t>4,392,799</t>
  </si>
  <si>
    <t>GRT21BR61A106KE01L</t>
  </si>
  <si>
    <t>CAP CER 10UF 10V X5R 0805</t>
  </si>
  <si>
    <t>13,043</t>
  </si>
  <si>
    <t>JN5169/001Z</t>
  </si>
  <si>
    <t>NXP USA Inc.</t>
  </si>
  <si>
    <t>IC RF TXRX+MCU 802.15.4 40VFQFN</t>
  </si>
  <si>
    <t>LQP15MN2N7B02D</t>
  </si>
  <si>
    <t>FIXED IND 2.7NH 220MA 300MOHM SM</t>
  </si>
  <si>
    <t>128</t>
  </si>
  <si>
    <t>LQP15MN3N0B02D</t>
  </si>
  <si>
    <t>FIXED IND 3NH 190MA 400 MOHM SMD</t>
  </si>
  <si>
    <t>47,822</t>
  </si>
  <si>
    <t>LQP15MN4N3B02D</t>
  </si>
  <si>
    <t>FIXED IND 4.3NH 160MA 600MOHM SM</t>
  </si>
  <si>
    <t>3,195</t>
  </si>
  <si>
    <t>LQP15MN5N1B02D</t>
  </si>
  <si>
    <t>FIXED IND 5.1NH 140MA 700MOHM SM</t>
  </si>
  <si>
    <t>MPI4040R3-220-R</t>
  </si>
  <si>
    <t>Eaton - Electronics Division</t>
  </si>
  <si>
    <t>FIXED IND 22UH 1.1A 408 MOHM SMD</t>
  </si>
  <si>
    <t>RC0402FR-071K2L</t>
  </si>
  <si>
    <t>RES 1.2K OHM 1% 1/16W 0402</t>
  </si>
  <si>
    <t>1,941,214</t>
  </si>
  <si>
    <t>RC0402FR-071K5L</t>
  </si>
  <si>
    <t>RES 1.5K OHM 1% 1/16W 0402</t>
  </si>
  <si>
    <t>4,689,044</t>
  </si>
  <si>
    <t>RC0402FR-0743KL</t>
  </si>
  <si>
    <t>RES 43K OHM 1% 1/16W 0402</t>
  </si>
  <si>
    <t>19,163</t>
  </si>
  <si>
    <t>RC0402FR-0747KL</t>
  </si>
  <si>
    <t>RES 47K OHM 1% 1/16W 0402</t>
  </si>
  <si>
    <t>129,326</t>
  </si>
  <si>
    <t>SE2431L-R</t>
  </si>
  <si>
    <t>Skyworks Solutions Inc.</t>
  </si>
  <si>
    <t>IC RF FRONT END MOD 2.4GHZ 24QFN</t>
  </si>
  <si>
    <t>113,742</t>
  </si>
  <si>
    <t>SN74LVC244APWR</t>
  </si>
  <si>
    <t>IC BUF NON-INVERT 3.6V 20TSSOP</t>
  </si>
  <si>
    <t>U.FL-R-SMT-1(80)</t>
  </si>
  <si>
    <t>CONN U.FL RCPT STR 50 OHM SMD</t>
  </si>
  <si>
    <t>154</t>
  </si>
  <si>
    <t>ALT MPN</t>
  </si>
  <si>
    <t>PMEG6030EVPX</t>
  </si>
  <si>
    <t>GRM188R61E105KAADD</t>
  </si>
  <si>
    <t>CC0805MKX5R5BB106</t>
  </si>
  <si>
    <t>C1206C476M8PAC7800</t>
  </si>
  <si>
    <t>PEC07SFAN</t>
  </si>
  <si>
    <t>SSQ-123-03-G-D</t>
  </si>
  <si>
    <t>ATSHA204-SH-CZ-T</t>
  </si>
  <si>
    <t>SN74AHC1G04DBVT</t>
  </si>
  <si>
    <t>cannot FIND ALT MPN with same PINOUT</t>
  </si>
  <si>
    <t>APG1005CGC-T</t>
  </si>
  <si>
    <t>FHR1105P-TR</t>
  </si>
  <si>
    <t>cannot FIND ALT MPN</t>
  </si>
  <si>
    <t>CRG0402ZR</t>
  </si>
  <si>
    <t>RMCF0603FG1K00</t>
  </si>
  <si>
    <t>RMCF0402FT1K00</t>
  </si>
  <si>
    <t>MCS04020C2201FE000</t>
  </si>
  <si>
    <t>RG1608P-472-B-T5</t>
  </si>
  <si>
    <t>SR0402FR-7T10KL</t>
  </si>
  <si>
    <t>CR0402-JW-103GLF</t>
  </si>
  <si>
    <t>CRG0402F100K</t>
  </si>
  <si>
    <t>RMCF0402FT150K</t>
  </si>
  <si>
    <t>RMCF0402FT330R</t>
  </si>
  <si>
    <t>MPI4020V2-220-R (different footprint size)</t>
  </si>
  <si>
    <t>Hirose</t>
  </si>
  <si>
    <t>RF Connectors / Coaxial Connectors SMT MALE RECEPT AU</t>
  </si>
  <si>
    <t>IC BUFF/DVR TRI-ST DUAL 20TSSOP</t>
  </si>
  <si>
    <t>Skyworks</t>
  </si>
  <si>
    <t>Yageo</t>
  </si>
  <si>
    <t>RES SMD 4.7K OHM 5% 1/16W 0402</t>
  </si>
  <si>
    <t>RES SMD 47K OHM 1% 1/16W 0402</t>
  </si>
  <si>
    <t>RES SMD 43K OHM 1% 1/16W 0402</t>
  </si>
  <si>
    <t>RES SMD 1.5K OHM 1% 1/16W 0402</t>
  </si>
  <si>
    <t>RES SMD 1.2K OHM 1% 1/16W 0402</t>
  </si>
  <si>
    <t>Eaton Bussmann</t>
  </si>
  <si>
    <t>MBR0520L</t>
  </si>
  <si>
    <t>ON Semiconductor</t>
  </si>
  <si>
    <t>DIODE SCHOTTKY 20V 0.5A SOD123</t>
  </si>
  <si>
    <t>Murata</t>
  </si>
  <si>
    <t>Inductor RF Chip ThFIXED IND 5.1NH 140MA 700 MOHM</t>
  </si>
  <si>
    <t>FIXED IND 4.3NH 160MA 600 MOHM</t>
  </si>
  <si>
    <t>FIXED IND 2.7NH 220MA 300 MOHM</t>
  </si>
  <si>
    <t>NXP Semiconductors</t>
  </si>
  <si>
    <t>IC RF TXRX+MCU 802.15.4 40-VFQFN</t>
  </si>
  <si>
    <t>Murata Electronics North America</t>
  </si>
  <si>
    <t>CAP CER 10PF 50V 5% NP0 0402</t>
  </si>
  <si>
    <t>CR1220</t>
  </si>
  <si>
    <t>FDK</t>
  </si>
  <si>
    <t>Coin Cell Battery 35mAh 12.5mm</t>
  </si>
  <si>
    <t>BB-2X23</t>
  </si>
  <si>
    <t>Microrobotics</t>
  </si>
  <si>
    <t>Beaglebone 2x23 Pin stacking header(2 Pack )</t>
  </si>
  <si>
    <t>IC CRYPTO 4.5KB I2C</t>
  </si>
  <si>
    <t>Abracon</t>
  </si>
  <si>
    <t>Coin Cell Battery Holders SM COIN CELL B/H</t>
  </si>
  <si>
    <t>74AHC1G32GW,125</t>
  </si>
  <si>
    <t>Nexperia</t>
  </si>
  <si>
    <t>IC GATE OR 1CH 2-INP 5TSSOP</t>
  </si>
  <si>
    <t>42-100017-01</t>
  </si>
  <si>
    <t>TSC</t>
  </si>
  <si>
    <t>Shield</t>
  </si>
  <si>
    <t>Voltage Regulators - Switching Regulators 42VIN,2A SIMPLE SW NANO STEP-DOWN REG</t>
  </si>
  <si>
    <t>SMBJ40CA</t>
  </si>
  <si>
    <t>Bourns</t>
  </si>
  <si>
    <t>TVS DIODE 40VWM 64.5VC DO214AA</t>
  </si>
  <si>
    <t>C&amp;K Components</t>
  </si>
  <si>
    <t>RES SMD 220 OHM 5% 1/16W 0402</t>
  </si>
  <si>
    <t>Panasonic</t>
  </si>
  <si>
    <t>6-1879336-2</t>
  </si>
  <si>
    <t>TE Connectivity AMP Connectors</t>
  </si>
  <si>
    <t>Vishay Beyschlag</t>
  </si>
  <si>
    <t>RES SMD 0.0OHM JUMPER 1/16W 0402</t>
  </si>
  <si>
    <t>RES SMD 0.0 OHM JUMPER 1/8W 0805</t>
  </si>
  <si>
    <t>RES SMD 0.0 OHM JUMPER 1/4W 1206</t>
  </si>
  <si>
    <t>Microchip</t>
  </si>
  <si>
    <t>MCU 8BIT 32KB FLASH 28SSOP</t>
  </si>
  <si>
    <t>LED RED 0402 SMD</t>
  </si>
  <si>
    <t>LED GREEN 0402 SMD</t>
  </si>
  <si>
    <t>LED CHIPLED 633NM RED 0805 SMD</t>
  </si>
  <si>
    <t>LED BLUE CLEAR 0603 SMD</t>
  </si>
  <si>
    <t>Maxim</t>
  </si>
  <si>
    <t>IC RTC I2C 8SOIC</t>
  </si>
  <si>
    <t>IC INVERTER HS SINGLE SOT-23-5</t>
  </si>
  <si>
    <t>IC INDCT LOAD DRVR AUTO SOT23</t>
  </si>
  <si>
    <t>FERRITE CHIP 120 OHM 0805</t>
  </si>
  <si>
    <t>CONN RCPT USB MINI B R/A SMD</t>
  </si>
  <si>
    <t>Samtec</t>
  </si>
  <si>
    <t>CONN RCPT .100" 46POS DUAL GOLD</t>
  </si>
  <si>
    <t>CUI Inc.</t>
  </si>
  <si>
    <t>CONN PWR JACK 2.1X5.5MM HIGH CUR</t>
  </si>
  <si>
    <t>Molex, LLC</t>
  </si>
  <si>
    <t>CONN HEADER 7POS .100 VERT TIN</t>
  </si>
  <si>
    <t>CONN HEADER 2POS .100" STR TIN</t>
  </si>
  <si>
    <t>C0603C222K5RACTU</t>
  </si>
  <si>
    <t>AVX Corporation</t>
  </si>
  <si>
    <t>CAP CER 2200PF 50V 10% X7R 0805</t>
  </si>
  <si>
    <t>C0805C104K5RACTU</t>
  </si>
  <si>
    <t>Kemet</t>
  </si>
  <si>
    <t>Samsung Electro-Mechanics America, Inc.</t>
  </si>
  <si>
    <t>Rohm</t>
  </si>
  <si>
    <t>MPN</t>
  </si>
  <si>
    <t>MFT</t>
  </si>
  <si>
    <t>Quantity</t>
  </si>
  <si>
    <t>Bourns, SMC Diode Solutions</t>
  </si>
  <si>
    <t>TC7SH08FU,LJ(CT</t>
  </si>
  <si>
    <t>please double check</t>
  </si>
  <si>
    <t>SN74LVC244APWT, SN74ALVC244PW</t>
  </si>
  <si>
    <t>in stock</t>
  </si>
  <si>
    <t>641 In Stock</t>
  </si>
  <si>
    <t>no longer manufactured</t>
  </si>
  <si>
    <t>No Stock</t>
  </si>
  <si>
    <t>GRM155R71H153KA12J</t>
  </si>
  <si>
    <t>GRM155R71E333KA88J</t>
  </si>
  <si>
    <t>C0402C104K4RAC7867</t>
  </si>
  <si>
    <t>CC0805KRX7R9BB104</t>
  </si>
  <si>
    <t>GCJ21BR72A104KA01L</t>
  </si>
  <si>
    <t>CL10A225KL8NNNC</t>
  </si>
  <si>
    <t>CL32B106KLJNNNE</t>
  </si>
  <si>
    <t>GCM155R71H102KA37D</t>
  </si>
  <si>
    <t>GCM188R71H222KA37D</t>
  </si>
  <si>
    <t>CL21B222KB6WPNC</t>
  </si>
  <si>
    <t>M20-9770246</t>
  </si>
  <si>
    <t>PJ-202AH</t>
  </si>
  <si>
    <t>CC0402KRX7R8BB103</t>
  </si>
  <si>
    <t>GRM155R71H104ME14J</t>
  </si>
  <si>
    <t>GCM1555C1H1R0CA16J</t>
  </si>
  <si>
    <t>CC0402CRNPO9BN1R2</t>
  </si>
  <si>
    <t>C0402C189C5GAC7867</t>
  </si>
  <si>
    <t>CC0402JRNPO9BN100</t>
  </si>
  <si>
    <t>CC0402JRNPO9BN120</t>
  </si>
  <si>
    <t>GCM1555C1H470JA16D</t>
  </si>
  <si>
    <t>CGA4J3X5R1A106K125AB</t>
  </si>
  <si>
    <t>AC0402FR-071K2L</t>
  </si>
  <si>
    <t>AC0402FR-0743KL</t>
  </si>
  <si>
    <t>CRGCQ0402F1K5</t>
  </si>
  <si>
    <t>CRGCQ0402F47K</t>
  </si>
  <si>
    <t>CRGCQ0402J4K7</t>
  </si>
  <si>
    <t>CR1206-J/-000ELF</t>
  </si>
  <si>
    <t>CR0805-J/-000ELF</t>
  </si>
  <si>
    <t>MCS0402MC1001FE000</t>
  </si>
  <si>
    <t>RMCF0402FT5K23</t>
  </si>
  <si>
    <t>ERA-2ARB6811X</t>
  </si>
  <si>
    <t>CRGCQ0402J220R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</si>
</sst>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 applyNumberFormat="1" applyFont="1"/>
    <xf numFmtId="0" fontId="0" fillId="0" borderId="1" xfId="0" applyNumberFormat="1" applyFont="1" applyBorder="1"/>
    <xf numFmtId="0" fontId="3" fillId="0" borderId="1" xfId="0" applyNumberFormat="1" applyFont="1" applyBorder="1"/>
    <xf numFmtId="0" fontId="3" fillId="2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0" fillId="3" borderId="1" xfId="0" applyNumberFormat="1" applyFont="1" applyFill="1" applyBorder="1" applyAlignment="1">
      <alignment horizontal="left" vertical="center"/>
    </xf>
    <xf numFmtId="0" fontId="0" fillId="4" borderId="1" xfId="0" applyNumberFormat="1" applyFont="1" applyFill="1" applyBorder="1"/>
    <xf numFmtId="0" fontId="0" fillId="4" borderId="0" xfId="0" applyNumberFormat="1" applyFont="1" applyFill="1"/>
    <xf numFmtId="0" fontId="3" fillId="4" borderId="1" xfId="0" applyNumberFormat="1" applyFont="1" applyFill="1" applyBorder="1" applyAlignment="1">
      <alignment horizontal="left" vertical="center"/>
    </xf>
    <xf numFmtId="0" fontId="2" fillId="0" borderId="0" xfId="1"/>
    <xf numFmtId="0" fontId="2" fillId="0" borderId="0" xfId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4" borderId="1" xfId="0" applyNumberFormat="1" applyFont="1" applyFill="1" applyBorder="1" applyAlignment="1">
      <alignment horizontal="left" vertical="center"/>
    </xf>
    <xf numFmtId="3" fontId="0" fillId="0" borderId="1" xfId="0" applyNumberFormat="1" applyFont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0" fontId="3" fillId="0" borderId="0" xfId="0" applyNumberFormat="1" applyFont="1"/>
    <xf numFmtId="0" fontId="1" fillId="0" borderId="0" xfId="1" applyFont="1" applyAlignment="1">
      <alignment horizontal="left" vertical="center"/>
    </xf>
    <xf numFmtId="0" fontId="3" fillId="0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Wilamp_DCU 2.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85"/>
  <sheetViews>
    <sheetView tabSelected="1" topLeftCell="C1" workbookViewId="0">
      <pane ySplit="1" topLeftCell="A37" activePane="bottomLeft" state="frozen"/>
      <selection pane="bottomLeft" activeCell="H52" sqref="H52"/>
    </sheetView>
  </sheetViews>
  <sheetFormatPr defaultRowHeight="14.4"/>
  <cols>
    <col min="2" max="2" width="36.33203125" bestFit="1" customWidth="1"/>
    <col min="3" max="3" width="38.33203125" customWidth="1"/>
    <col min="4" max="4" width="23.6640625" bestFit="1" customWidth="1"/>
    <col min="5" max="5" width="9.77734375" style="6" bestFit="1" customWidth="1"/>
    <col min="6" max="6" width="19.33203125" bestFit="1" customWidth="1"/>
    <col min="8" max="8" width="37.109375" style="6" customWidth="1"/>
    <col min="9" max="9" width="11.88671875" customWidth="1"/>
  </cols>
  <sheetData>
    <row r="1" spans="1:8">
      <c r="A1" s="8" t="s">
        <v>0</v>
      </c>
      <c r="B1" s="8" t="s">
        <v>2</v>
      </c>
      <c r="C1" s="8" t="s">
        <v>3</v>
      </c>
      <c r="D1" s="8" t="s">
        <v>1</v>
      </c>
      <c r="E1" s="14" t="s">
        <v>4</v>
      </c>
      <c r="F1" s="8" t="s">
        <v>5</v>
      </c>
      <c r="G1" s="9"/>
      <c r="H1" s="10" t="s">
        <v>246</v>
      </c>
    </row>
    <row r="2" spans="1:8">
      <c r="A2" s="1">
        <v>1</v>
      </c>
      <c r="B2" s="1" t="s">
        <v>7</v>
      </c>
      <c r="C2" s="1" t="s">
        <v>8</v>
      </c>
      <c r="D2" s="1" t="s">
        <v>6</v>
      </c>
      <c r="E2" s="5" t="s">
        <v>9</v>
      </c>
      <c r="F2" s="1" t="s">
        <v>9</v>
      </c>
      <c r="H2" s="5"/>
    </row>
    <row r="3" spans="1:8" hidden="1">
      <c r="A3" s="1">
        <v>2</v>
      </c>
      <c r="B3" s="1" t="s">
        <v>11</v>
      </c>
      <c r="C3" s="1" t="s">
        <v>12</v>
      </c>
      <c r="D3" s="1" t="s">
        <v>10</v>
      </c>
      <c r="E3" s="5" t="s">
        <v>13</v>
      </c>
      <c r="F3" s="1" t="s">
        <v>14</v>
      </c>
      <c r="H3" s="4" t="s">
        <v>247</v>
      </c>
    </row>
    <row r="4" spans="1:8" hidden="1">
      <c r="A4" s="1">
        <v>3</v>
      </c>
      <c r="B4" s="1" t="s">
        <v>16</v>
      </c>
      <c r="C4" s="1" t="s">
        <v>17</v>
      </c>
      <c r="D4" s="1" t="s">
        <v>15</v>
      </c>
      <c r="E4" s="5" t="s">
        <v>18</v>
      </c>
      <c r="F4" s="1" t="s">
        <v>19</v>
      </c>
      <c r="H4" s="2" t="s">
        <v>357</v>
      </c>
    </row>
    <row r="5" spans="1:8" hidden="1">
      <c r="A5" s="1">
        <v>4</v>
      </c>
      <c r="B5" s="1" t="s">
        <v>16</v>
      </c>
      <c r="C5" s="1" t="s">
        <v>21</v>
      </c>
      <c r="D5" s="1" t="s">
        <v>20</v>
      </c>
      <c r="E5" s="5" t="s">
        <v>22</v>
      </c>
      <c r="F5" s="1" t="s">
        <v>19</v>
      </c>
      <c r="H5" s="1" t="s">
        <v>358</v>
      </c>
    </row>
    <row r="6" spans="1:8" hidden="1">
      <c r="A6" s="1">
        <v>5</v>
      </c>
      <c r="B6" s="1" t="s">
        <v>24</v>
      </c>
      <c r="C6" s="1" t="s">
        <v>25</v>
      </c>
      <c r="D6" s="1" t="s">
        <v>23</v>
      </c>
      <c r="E6" s="5" t="s">
        <v>26</v>
      </c>
      <c r="F6" s="1" t="s">
        <v>19</v>
      </c>
      <c r="H6" s="1" t="s">
        <v>359</v>
      </c>
    </row>
    <row r="7" spans="1:8" hidden="1">
      <c r="A7" s="1">
        <v>6</v>
      </c>
      <c r="B7" s="1" t="s">
        <v>28</v>
      </c>
      <c r="C7" s="1" t="s">
        <v>29</v>
      </c>
      <c r="D7" s="1" t="s">
        <v>27</v>
      </c>
      <c r="E7" s="5" t="s">
        <v>30</v>
      </c>
      <c r="F7" s="1" t="s">
        <v>19</v>
      </c>
      <c r="H7" s="1" t="s">
        <v>360</v>
      </c>
    </row>
    <row r="8" spans="1:8" hidden="1">
      <c r="A8" s="1">
        <v>7</v>
      </c>
      <c r="B8" s="1" t="s">
        <v>16</v>
      </c>
      <c r="C8" s="1" t="s">
        <v>32</v>
      </c>
      <c r="D8" s="1" t="s">
        <v>31</v>
      </c>
      <c r="E8" s="5" t="s">
        <v>33</v>
      </c>
      <c r="F8" s="1" t="s">
        <v>19</v>
      </c>
      <c r="H8" s="1" t="s">
        <v>361</v>
      </c>
    </row>
    <row r="9" spans="1:8" hidden="1">
      <c r="A9" s="1">
        <v>8</v>
      </c>
      <c r="B9" s="1" t="s">
        <v>16</v>
      </c>
      <c r="C9" s="1" t="s">
        <v>35</v>
      </c>
      <c r="D9" s="1" t="s">
        <v>34</v>
      </c>
      <c r="E9" s="5" t="s">
        <v>9</v>
      </c>
      <c r="F9" s="1" t="s">
        <v>36</v>
      </c>
      <c r="H9" s="4" t="s">
        <v>248</v>
      </c>
    </row>
    <row r="10" spans="1:8" hidden="1">
      <c r="A10" s="1">
        <v>9</v>
      </c>
      <c r="B10" s="1" t="s">
        <v>38</v>
      </c>
      <c r="C10" s="1" t="s">
        <v>39</v>
      </c>
      <c r="D10" s="1" t="s">
        <v>37</v>
      </c>
      <c r="E10" s="5" t="s">
        <v>40</v>
      </c>
      <c r="F10" s="1" t="s">
        <v>19</v>
      </c>
      <c r="H10" s="1" t="s">
        <v>362</v>
      </c>
    </row>
    <row r="11" spans="1:8" hidden="1">
      <c r="A11" s="1">
        <v>10</v>
      </c>
      <c r="B11" s="1" t="s">
        <v>16</v>
      </c>
      <c r="C11" s="1" t="s">
        <v>42</v>
      </c>
      <c r="D11" s="1" t="s">
        <v>41</v>
      </c>
      <c r="E11" s="5" t="s">
        <v>9</v>
      </c>
      <c r="F11" s="1" t="s">
        <v>9</v>
      </c>
      <c r="H11" s="3" t="s">
        <v>249</v>
      </c>
    </row>
    <row r="12" spans="1:8" hidden="1">
      <c r="A12" s="1">
        <v>11</v>
      </c>
      <c r="B12" s="1" t="s">
        <v>16</v>
      </c>
      <c r="C12" s="1" t="s">
        <v>44</v>
      </c>
      <c r="D12" s="1" t="s">
        <v>43</v>
      </c>
      <c r="E12" s="5" t="s">
        <v>45</v>
      </c>
      <c r="F12" s="1" t="s">
        <v>19</v>
      </c>
      <c r="H12" s="3" t="s">
        <v>363</v>
      </c>
    </row>
    <row r="13" spans="1:8" hidden="1">
      <c r="A13" s="1">
        <v>12</v>
      </c>
      <c r="B13" s="1" t="s">
        <v>16</v>
      </c>
      <c r="C13" s="1" t="s">
        <v>47</v>
      </c>
      <c r="D13" s="1" t="s">
        <v>46</v>
      </c>
      <c r="E13" s="5" t="s">
        <v>48</v>
      </c>
      <c r="F13" s="1" t="s">
        <v>49</v>
      </c>
      <c r="H13" s="4" t="s">
        <v>250</v>
      </c>
    </row>
    <row r="14" spans="1:8" hidden="1">
      <c r="A14" s="1">
        <v>13</v>
      </c>
      <c r="B14" s="1" t="s">
        <v>16</v>
      </c>
      <c r="C14" s="1" t="s">
        <v>51</v>
      </c>
      <c r="D14" s="1" t="s">
        <v>50</v>
      </c>
      <c r="E14" s="5" t="s">
        <v>52</v>
      </c>
      <c r="F14" s="1" t="s">
        <v>19</v>
      </c>
      <c r="H14" s="1" t="s">
        <v>364</v>
      </c>
    </row>
    <row r="15" spans="1:8" hidden="1">
      <c r="A15" s="1">
        <v>14</v>
      </c>
      <c r="B15" s="1" t="s">
        <v>54</v>
      </c>
      <c r="C15" s="1" t="s">
        <v>55</v>
      </c>
      <c r="D15" s="1" t="s">
        <v>53</v>
      </c>
      <c r="E15" s="5" t="s">
        <v>56</v>
      </c>
      <c r="F15" s="1" t="s">
        <v>19</v>
      </c>
      <c r="H15" s="1" t="s">
        <v>366</v>
      </c>
    </row>
    <row r="16" spans="1:8" hidden="1">
      <c r="A16" s="1">
        <v>15</v>
      </c>
      <c r="B16" s="1" t="s">
        <v>28</v>
      </c>
      <c r="C16" s="1" t="s">
        <v>58</v>
      </c>
      <c r="D16" s="1" t="s">
        <v>57</v>
      </c>
      <c r="E16" s="5" t="s">
        <v>59</v>
      </c>
      <c r="F16" s="1" t="s">
        <v>19</v>
      </c>
      <c r="H16" s="1" t="s">
        <v>365</v>
      </c>
    </row>
    <row r="17" spans="1:10" hidden="1">
      <c r="A17" s="1">
        <v>16</v>
      </c>
      <c r="B17" s="1" t="s">
        <v>61</v>
      </c>
      <c r="C17" s="1" t="s">
        <v>62</v>
      </c>
      <c r="D17" s="1" t="s">
        <v>60</v>
      </c>
      <c r="E17" s="5" t="s">
        <v>63</v>
      </c>
      <c r="F17" s="1" t="s">
        <v>19</v>
      </c>
      <c r="H17" s="1" t="s">
        <v>367</v>
      </c>
    </row>
    <row r="18" spans="1:10" hidden="1">
      <c r="A18" s="1">
        <v>17</v>
      </c>
      <c r="B18" s="1" t="s">
        <v>61</v>
      </c>
      <c r="C18" s="1" t="s">
        <v>65</v>
      </c>
      <c r="D18" s="1" t="s">
        <v>64</v>
      </c>
      <c r="E18" s="5" t="s">
        <v>9</v>
      </c>
      <c r="F18" s="1" t="s">
        <v>66</v>
      </c>
      <c r="H18" s="4" t="s">
        <v>251</v>
      </c>
    </row>
    <row r="19" spans="1:10" hidden="1">
      <c r="A19" s="1">
        <v>18</v>
      </c>
      <c r="B19" s="1" t="s">
        <v>68</v>
      </c>
      <c r="C19" s="1" t="s">
        <v>69</v>
      </c>
      <c r="D19" s="1" t="s">
        <v>67</v>
      </c>
      <c r="E19" s="5" t="s">
        <v>70</v>
      </c>
      <c r="F19" s="1" t="s">
        <v>19</v>
      </c>
      <c r="H19" s="1" t="s">
        <v>368</v>
      </c>
    </row>
    <row r="20" spans="1:10" hidden="1">
      <c r="A20" s="1">
        <v>19</v>
      </c>
      <c r="B20" s="1" t="s">
        <v>72</v>
      </c>
      <c r="C20" s="1" t="s">
        <v>73</v>
      </c>
      <c r="D20" s="1" t="s">
        <v>71</v>
      </c>
      <c r="E20" s="5" t="s">
        <v>74</v>
      </c>
      <c r="F20" s="1" t="s">
        <v>75</v>
      </c>
      <c r="H20" s="5" t="s">
        <v>252</v>
      </c>
    </row>
    <row r="21" spans="1:10">
      <c r="A21" s="1">
        <v>20</v>
      </c>
      <c r="B21" s="1" t="s">
        <v>77</v>
      </c>
      <c r="C21" s="1" t="s">
        <v>78</v>
      </c>
      <c r="D21" s="1" t="s">
        <v>76</v>
      </c>
      <c r="E21" s="5" t="s">
        <v>79</v>
      </c>
      <c r="F21" s="1" t="s">
        <v>19</v>
      </c>
      <c r="H21" s="1"/>
    </row>
    <row r="22" spans="1:10">
      <c r="A22" s="1">
        <v>21</v>
      </c>
      <c r="B22" s="1" t="s">
        <v>16</v>
      </c>
      <c r="C22" s="1" t="s">
        <v>81</v>
      </c>
      <c r="D22" s="1" t="s">
        <v>80</v>
      </c>
      <c r="E22" s="5" t="s">
        <v>82</v>
      </c>
      <c r="F22" s="1" t="s">
        <v>19</v>
      </c>
      <c r="H22" s="1"/>
    </row>
    <row r="23" spans="1:10" hidden="1">
      <c r="A23" s="1">
        <v>22</v>
      </c>
      <c r="B23" s="1" t="s">
        <v>16</v>
      </c>
      <c r="C23" s="1" t="s">
        <v>84</v>
      </c>
      <c r="D23" s="1" t="s">
        <v>83</v>
      </c>
      <c r="E23" s="5" t="s">
        <v>48</v>
      </c>
      <c r="F23" s="1" t="s">
        <v>49</v>
      </c>
      <c r="H23" s="5">
        <v>782853131</v>
      </c>
    </row>
    <row r="24" spans="1:10" hidden="1">
      <c r="A24" s="1">
        <v>23</v>
      </c>
      <c r="B24" s="1" t="s">
        <v>86</v>
      </c>
      <c r="C24" s="1" t="s">
        <v>87</v>
      </c>
      <c r="D24" s="1" t="s">
        <v>85</v>
      </c>
      <c r="E24" s="5" t="s">
        <v>48</v>
      </c>
      <c r="F24" s="1" t="s">
        <v>49</v>
      </c>
      <c r="H24" s="5" t="s">
        <v>253</v>
      </c>
      <c r="I24" s="17" t="s">
        <v>354</v>
      </c>
      <c r="J24" s="19" t="s">
        <v>355</v>
      </c>
    </row>
    <row r="25" spans="1:10">
      <c r="A25" s="1">
        <v>24</v>
      </c>
      <c r="B25" s="1" t="s">
        <v>89</v>
      </c>
      <c r="C25" s="1" t="s">
        <v>90</v>
      </c>
      <c r="D25" s="1" t="s">
        <v>88</v>
      </c>
      <c r="E25" s="5" t="s">
        <v>91</v>
      </c>
      <c r="F25" s="2" t="s">
        <v>356</v>
      </c>
      <c r="H25" s="7" t="s">
        <v>258</v>
      </c>
    </row>
    <row r="26" spans="1:10" hidden="1">
      <c r="A26" s="1">
        <v>25</v>
      </c>
      <c r="B26" s="1" t="s">
        <v>89</v>
      </c>
      <c r="C26" s="1" t="s">
        <v>93</v>
      </c>
      <c r="D26" s="1" t="s">
        <v>92</v>
      </c>
      <c r="E26" s="5" t="s">
        <v>48</v>
      </c>
      <c r="F26" s="1" t="s">
        <v>49</v>
      </c>
      <c r="H26" s="5" t="s">
        <v>254</v>
      </c>
    </row>
    <row r="27" spans="1:10">
      <c r="A27" s="1">
        <v>26</v>
      </c>
      <c r="B27" s="1" t="s">
        <v>95</v>
      </c>
      <c r="C27" s="1" t="s">
        <v>96</v>
      </c>
      <c r="D27" s="1" t="s">
        <v>94</v>
      </c>
      <c r="E27" s="5" t="s">
        <v>48</v>
      </c>
      <c r="F27" s="1" t="s">
        <v>49</v>
      </c>
      <c r="H27" s="7" t="s">
        <v>255</v>
      </c>
    </row>
    <row r="28" spans="1:10">
      <c r="A28" s="1">
        <v>27</v>
      </c>
      <c r="B28" s="1" t="s">
        <v>98</v>
      </c>
      <c r="C28" s="1" t="s">
        <v>99</v>
      </c>
      <c r="D28" s="1" t="s">
        <v>97</v>
      </c>
      <c r="E28" s="5" t="s">
        <v>100</v>
      </c>
      <c r="F28" s="1" t="s">
        <v>19</v>
      </c>
      <c r="H28" s="1"/>
    </row>
    <row r="29" spans="1:10">
      <c r="A29" s="1">
        <v>28</v>
      </c>
      <c r="B29" s="1" t="s">
        <v>102</v>
      </c>
      <c r="C29" s="1" t="s">
        <v>103</v>
      </c>
      <c r="D29" s="1" t="s">
        <v>101</v>
      </c>
      <c r="E29" s="5" t="s">
        <v>104</v>
      </c>
      <c r="F29" s="1" t="s">
        <v>19</v>
      </c>
      <c r="H29" s="1"/>
    </row>
    <row r="30" spans="1:10">
      <c r="A30" s="1">
        <v>29</v>
      </c>
      <c r="B30" s="1" t="s">
        <v>106</v>
      </c>
      <c r="C30" s="1" t="s">
        <v>107</v>
      </c>
      <c r="D30" s="1" t="s">
        <v>105</v>
      </c>
      <c r="E30" s="5" t="s">
        <v>108</v>
      </c>
      <c r="F30" s="1" t="s">
        <v>19</v>
      </c>
      <c r="H30" s="1"/>
    </row>
    <row r="31" spans="1:10" hidden="1">
      <c r="A31" s="1">
        <v>30</v>
      </c>
      <c r="B31" s="1" t="s">
        <v>110</v>
      </c>
      <c r="C31" s="1" t="s">
        <v>111</v>
      </c>
      <c r="D31" s="1" t="s">
        <v>109</v>
      </c>
      <c r="E31" s="5" t="s">
        <v>9</v>
      </c>
      <c r="F31" s="1" t="s">
        <v>36</v>
      </c>
      <c r="H31" s="5" t="s">
        <v>256</v>
      </c>
    </row>
    <row r="32" spans="1:10" hidden="1">
      <c r="A32" s="1">
        <v>31</v>
      </c>
      <c r="B32" s="1" t="s">
        <v>110</v>
      </c>
      <c r="C32" s="1" t="s">
        <v>113</v>
      </c>
      <c r="D32" s="1" t="s">
        <v>112</v>
      </c>
      <c r="E32" s="5" t="s">
        <v>9</v>
      </c>
      <c r="F32" s="1" t="s">
        <v>36</v>
      </c>
      <c r="H32" s="5" t="s">
        <v>257</v>
      </c>
    </row>
    <row r="33" spans="1:8">
      <c r="A33" s="1">
        <v>32</v>
      </c>
      <c r="B33" s="1" t="s">
        <v>86</v>
      </c>
      <c r="C33" s="1" t="s">
        <v>115</v>
      </c>
      <c r="D33" s="1" t="s">
        <v>114</v>
      </c>
      <c r="E33" s="5" t="s">
        <v>48</v>
      </c>
      <c r="F33" s="1" t="s">
        <v>49</v>
      </c>
      <c r="H33" s="7" t="s">
        <v>258</v>
      </c>
    </row>
    <row r="34" spans="1:8">
      <c r="A34" s="1">
        <v>33</v>
      </c>
      <c r="B34" s="1" t="s">
        <v>117</v>
      </c>
      <c r="C34" s="1" t="s">
        <v>118</v>
      </c>
      <c r="D34" s="1" t="s">
        <v>116</v>
      </c>
      <c r="E34" s="5" t="s">
        <v>119</v>
      </c>
      <c r="F34" s="1" t="s">
        <v>19</v>
      </c>
      <c r="H34" s="1" t="s">
        <v>383</v>
      </c>
    </row>
    <row r="35" spans="1:8">
      <c r="A35" s="1">
        <v>34</v>
      </c>
      <c r="B35" s="1" t="s">
        <v>117</v>
      </c>
      <c r="C35" s="1" t="s">
        <v>121</v>
      </c>
      <c r="D35" s="1" t="s">
        <v>120</v>
      </c>
      <c r="E35" s="5" t="s">
        <v>122</v>
      </c>
      <c r="F35" s="1" t="s">
        <v>19</v>
      </c>
      <c r="H35" s="1" t="s">
        <v>384</v>
      </c>
    </row>
    <row r="36" spans="1:8" hidden="1">
      <c r="A36" s="1">
        <v>35</v>
      </c>
      <c r="B36" s="1" t="s">
        <v>124</v>
      </c>
      <c r="C36" s="1" t="s">
        <v>125</v>
      </c>
      <c r="D36" s="1" t="s">
        <v>123</v>
      </c>
      <c r="E36" s="5" t="s">
        <v>48</v>
      </c>
      <c r="F36" s="1" t="s">
        <v>49</v>
      </c>
      <c r="H36" s="5" t="s">
        <v>259</v>
      </c>
    </row>
    <row r="37" spans="1:8">
      <c r="A37" s="1">
        <v>36</v>
      </c>
      <c r="B37" s="1" t="s">
        <v>127</v>
      </c>
      <c r="C37" s="1" t="s">
        <v>128</v>
      </c>
      <c r="D37" s="1" t="s">
        <v>126</v>
      </c>
      <c r="E37" s="5" t="s">
        <v>129</v>
      </c>
      <c r="F37" s="1" t="s">
        <v>19</v>
      </c>
      <c r="H37" s="1" t="s">
        <v>385</v>
      </c>
    </row>
    <row r="38" spans="1:8" hidden="1">
      <c r="A38" s="1">
        <v>37</v>
      </c>
      <c r="B38" s="1" t="s">
        <v>110</v>
      </c>
      <c r="C38" s="1" t="s">
        <v>131</v>
      </c>
      <c r="D38" s="1" t="s">
        <v>130</v>
      </c>
      <c r="E38" s="5" t="s">
        <v>48</v>
      </c>
      <c r="F38" s="1" t="s">
        <v>49</v>
      </c>
      <c r="H38" s="5" t="s">
        <v>260</v>
      </c>
    </row>
    <row r="39" spans="1:8" hidden="1">
      <c r="A39" s="1">
        <v>38</v>
      </c>
      <c r="B39" s="1" t="s">
        <v>124</v>
      </c>
      <c r="C39" s="1" t="s">
        <v>133</v>
      </c>
      <c r="D39" s="1" t="s">
        <v>132</v>
      </c>
      <c r="E39" s="5" t="s">
        <v>48</v>
      </c>
      <c r="F39" s="1" t="s">
        <v>49</v>
      </c>
      <c r="H39" s="5" t="s">
        <v>261</v>
      </c>
    </row>
    <row r="40" spans="1:8">
      <c r="A40" s="1">
        <v>39</v>
      </c>
      <c r="B40" s="1" t="s">
        <v>135</v>
      </c>
      <c r="C40" s="1" t="s">
        <v>136</v>
      </c>
      <c r="D40" s="1" t="s">
        <v>134</v>
      </c>
      <c r="E40" s="5" t="s">
        <v>137</v>
      </c>
      <c r="F40" s="1" t="s">
        <v>19</v>
      </c>
      <c r="H40" s="1"/>
    </row>
    <row r="41" spans="1:8" hidden="1">
      <c r="A41" s="1">
        <v>40</v>
      </c>
      <c r="B41" s="1" t="s">
        <v>110</v>
      </c>
      <c r="C41" s="1" t="s">
        <v>139</v>
      </c>
      <c r="D41" s="1" t="s">
        <v>138</v>
      </c>
      <c r="E41" s="5" t="s">
        <v>48</v>
      </c>
      <c r="F41" s="1" t="s">
        <v>49</v>
      </c>
      <c r="H41" s="5" t="s">
        <v>262</v>
      </c>
    </row>
    <row r="42" spans="1:8" hidden="1">
      <c r="A42" s="1">
        <v>41</v>
      </c>
      <c r="B42" s="1" t="s">
        <v>110</v>
      </c>
      <c r="C42" s="1" t="s">
        <v>141</v>
      </c>
      <c r="D42" s="1" t="s">
        <v>140</v>
      </c>
      <c r="E42" s="5" t="s">
        <v>48</v>
      </c>
      <c r="F42" s="1" t="s">
        <v>49</v>
      </c>
      <c r="H42" s="5" t="s">
        <v>263</v>
      </c>
    </row>
    <row r="43" spans="1:8">
      <c r="A43" s="1">
        <v>42</v>
      </c>
      <c r="B43" s="1" t="s">
        <v>117</v>
      </c>
      <c r="C43" s="1" t="s">
        <v>143</v>
      </c>
      <c r="D43" s="1" t="s">
        <v>142</v>
      </c>
      <c r="E43" s="5" t="s">
        <v>144</v>
      </c>
      <c r="F43" s="1" t="s">
        <v>19</v>
      </c>
      <c r="H43" s="1" t="s">
        <v>382</v>
      </c>
    </row>
    <row r="44" spans="1:8">
      <c r="A44" s="1">
        <v>43</v>
      </c>
      <c r="B44" s="1" t="s">
        <v>124</v>
      </c>
      <c r="C44" s="1" t="s">
        <v>146</v>
      </c>
      <c r="D44" s="1" t="s">
        <v>145</v>
      </c>
      <c r="E44" s="5" t="s">
        <v>147</v>
      </c>
      <c r="F44" s="1" t="s">
        <v>19</v>
      </c>
      <c r="H44" s="1" t="s">
        <v>386</v>
      </c>
    </row>
    <row r="45" spans="1:8">
      <c r="A45" s="1">
        <v>44</v>
      </c>
      <c r="B45" s="1" t="s">
        <v>117</v>
      </c>
      <c r="C45" s="1" t="s">
        <v>149</v>
      </c>
      <c r="D45" s="1" t="s">
        <v>148</v>
      </c>
      <c r="E45" s="5" t="s">
        <v>150</v>
      </c>
      <c r="F45" s="1" t="s">
        <v>19</v>
      </c>
      <c r="H45" s="1" t="s">
        <v>387</v>
      </c>
    </row>
    <row r="46" spans="1:8" hidden="1">
      <c r="A46" s="1">
        <v>45</v>
      </c>
      <c r="B46" s="1" t="s">
        <v>124</v>
      </c>
      <c r="C46" s="1" t="s">
        <v>152</v>
      </c>
      <c r="D46" s="1" t="s">
        <v>151</v>
      </c>
      <c r="E46" s="5" t="s">
        <v>48</v>
      </c>
      <c r="F46" s="1" t="s">
        <v>49</v>
      </c>
      <c r="H46" s="5" t="s">
        <v>264</v>
      </c>
    </row>
    <row r="47" spans="1:8" hidden="1">
      <c r="A47" s="1">
        <v>46</v>
      </c>
      <c r="B47" s="1" t="s">
        <v>124</v>
      </c>
      <c r="C47" s="1" t="s">
        <v>154</v>
      </c>
      <c r="D47" s="1" t="s">
        <v>153</v>
      </c>
      <c r="E47" s="5" t="s">
        <v>48</v>
      </c>
      <c r="F47" s="1" t="s">
        <v>49</v>
      </c>
      <c r="H47" s="5" t="s">
        <v>265</v>
      </c>
    </row>
    <row r="48" spans="1:8" hidden="1">
      <c r="A48" s="1">
        <v>47</v>
      </c>
      <c r="B48" s="1" t="s">
        <v>124</v>
      </c>
      <c r="C48" s="1" t="s">
        <v>156</v>
      </c>
      <c r="D48" s="1" t="s">
        <v>155</v>
      </c>
      <c r="E48" s="5" t="s">
        <v>48</v>
      </c>
      <c r="F48" s="1" t="s">
        <v>49</v>
      </c>
      <c r="H48" s="5" t="s">
        <v>266</v>
      </c>
    </row>
    <row r="49" spans="1:9" hidden="1">
      <c r="A49" s="1">
        <v>48</v>
      </c>
      <c r="B49" s="1" t="s">
        <v>124</v>
      </c>
      <c r="C49" s="1" t="s">
        <v>158</v>
      </c>
      <c r="D49" s="1" t="s">
        <v>157</v>
      </c>
      <c r="E49" s="5" t="s">
        <v>48</v>
      </c>
      <c r="F49" s="1" t="s">
        <v>49</v>
      </c>
      <c r="H49" s="5" t="s">
        <v>267</v>
      </c>
    </row>
    <row r="50" spans="1:9">
      <c r="A50" s="1">
        <v>49</v>
      </c>
      <c r="B50" s="1" t="s">
        <v>117</v>
      </c>
      <c r="C50" s="1" t="s">
        <v>160</v>
      </c>
      <c r="D50" s="1" t="s">
        <v>159</v>
      </c>
      <c r="E50" s="5" t="s">
        <v>161</v>
      </c>
      <c r="F50" s="1" t="s">
        <v>19</v>
      </c>
      <c r="H50" s="1" t="s">
        <v>388</v>
      </c>
    </row>
    <row r="51" spans="1:9" hidden="1">
      <c r="A51" s="1">
        <v>50</v>
      </c>
      <c r="B51" s="1" t="s">
        <v>124</v>
      </c>
      <c r="C51" s="1" t="s">
        <v>163</v>
      </c>
      <c r="D51" s="1" t="s">
        <v>162</v>
      </c>
      <c r="E51" s="5" t="s">
        <v>48</v>
      </c>
      <c r="F51" s="1" t="s">
        <v>49</v>
      </c>
      <c r="H51" s="5" t="s">
        <v>268</v>
      </c>
    </row>
    <row r="52" spans="1:9">
      <c r="A52" s="1">
        <v>51</v>
      </c>
      <c r="B52" s="1" t="s">
        <v>165</v>
      </c>
      <c r="C52" s="1" t="s">
        <v>166</v>
      </c>
      <c r="D52" s="1" t="s">
        <v>164</v>
      </c>
      <c r="E52" s="5" t="s">
        <v>167</v>
      </c>
      <c r="F52" s="1" t="s">
        <v>19</v>
      </c>
      <c r="H52" s="1"/>
    </row>
    <row r="53" spans="1:9">
      <c r="A53" s="1">
        <v>52</v>
      </c>
      <c r="B53" s="13" t="s">
        <v>349</v>
      </c>
      <c r="C53" s="13" t="s">
        <v>310</v>
      </c>
      <c r="D53" s="13" t="s">
        <v>308</v>
      </c>
      <c r="E53" s="15">
        <v>1025</v>
      </c>
      <c r="F53" s="1" t="s">
        <v>19</v>
      </c>
      <c r="H53" s="5"/>
    </row>
    <row r="54" spans="1:9">
      <c r="A54" s="1">
        <v>53</v>
      </c>
      <c r="B54" s="1" t="s">
        <v>169</v>
      </c>
      <c r="C54" s="1" t="s">
        <v>170</v>
      </c>
      <c r="D54" s="2" t="s">
        <v>168</v>
      </c>
      <c r="E54" s="5" t="s">
        <v>48</v>
      </c>
      <c r="F54" s="1" t="s">
        <v>49</v>
      </c>
      <c r="H54" s="7" t="s">
        <v>258</v>
      </c>
    </row>
    <row r="55" spans="1:9">
      <c r="A55" s="1">
        <v>54</v>
      </c>
      <c r="B55" s="13" t="s">
        <v>305</v>
      </c>
      <c r="C55" s="13" t="s">
        <v>306</v>
      </c>
      <c r="D55" s="13" t="s">
        <v>304</v>
      </c>
      <c r="E55" s="5" t="s">
        <v>9</v>
      </c>
      <c r="F55" s="1" t="s">
        <v>9</v>
      </c>
      <c r="H55" s="5"/>
    </row>
    <row r="56" spans="1:9">
      <c r="A56" s="1">
        <v>55</v>
      </c>
      <c r="B56" s="13" t="s">
        <v>303</v>
      </c>
      <c r="C56" s="13" t="s">
        <v>302</v>
      </c>
      <c r="D56" s="13" t="s">
        <v>301</v>
      </c>
      <c r="E56" s="5" t="s">
        <v>9</v>
      </c>
      <c r="F56" s="1" t="s">
        <v>9</v>
      </c>
      <c r="H56" s="16" t="s">
        <v>350</v>
      </c>
      <c r="I56" s="17" t="s">
        <v>351</v>
      </c>
    </row>
    <row r="57" spans="1:9" hidden="1">
      <c r="A57" s="1">
        <v>56</v>
      </c>
      <c r="B57" s="1" t="s">
        <v>172</v>
      </c>
      <c r="C57" s="1" t="s">
        <v>173</v>
      </c>
      <c r="D57" s="1" t="s">
        <v>171</v>
      </c>
      <c r="E57" s="5" t="s">
        <v>48</v>
      </c>
      <c r="F57" s="1" t="s">
        <v>49</v>
      </c>
      <c r="H57" s="5">
        <v>3000</v>
      </c>
    </row>
    <row r="58" spans="1:9">
      <c r="A58" s="1">
        <v>57</v>
      </c>
      <c r="B58" s="1" t="s">
        <v>175</v>
      </c>
      <c r="C58" s="1" t="s">
        <v>176</v>
      </c>
      <c r="D58" s="1" t="s">
        <v>174</v>
      </c>
      <c r="E58" s="5" t="s">
        <v>177</v>
      </c>
      <c r="F58" s="1" t="s">
        <v>19</v>
      </c>
      <c r="H58" s="1"/>
    </row>
    <row r="59" spans="1:9">
      <c r="A59" s="1">
        <v>58</v>
      </c>
      <c r="B59" s="1" t="s">
        <v>86</v>
      </c>
      <c r="C59" s="1" t="s">
        <v>179</v>
      </c>
      <c r="D59" s="1" t="s">
        <v>178</v>
      </c>
      <c r="E59" s="5" t="s">
        <v>180</v>
      </c>
      <c r="F59" s="1" t="s">
        <v>19</v>
      </c>
      <c r="H59" s="1"/>
    </row>
    <row r="60" spans="1:9">
      <c r="A60" s="1">
        <v>59</v>
      </c>
      <c r="B60" s="13" t="s">
        <v>297</v>
      </c>
      <c r="C60" s="13" t="s">
        <v>296</v>
      </c>
      <c r="D60" s="13" t="s">
        <v>295</v>
      </c>
      <c r="E60" s="5" t="s">
        <v>9</v>
      </c>
      <c r="F60" s="1" t="s">
        <v>9</v>
      </c>
      <c r="H60" s="5"/>
    </row>
    <row r="61" spans="1:9">
      <c r="A61" s="1">
        <v>60</v>
      </c>
      <c r="B61" s="13" t="s">
        <v>293</v>
      </c>
      <c r="C61" s="13" t="s">
        <v>294</v>
      </c>
      <c r="D61" s="13" t="s">
        <v>292</v>
      </c>
      <c r="E61" s="15">
        <v>41259</v>
      </c>
      <c r="F61" s="2" t="s">
        <v>353</v>
      </c>
      <c r="H61" s="5"/>
    </row>
    <row r="62" spans="1:9" hidden="1">
      <c r="A62" s="1">
        <v>61</v>
      </c>
      <c r="B62" s="1" t="s">
        <v>16</v>
      </c>
      <c r="C62" s="1" t="s">
        <v>182</v>
      </c>
      <c r="D62" s="1" t="s">
        <v>181</v>
      </c>
      <c r="E62" s="5" t="s">
        <v>183</v>
      </c>
      <c r="F62" s="1" t="s">
        <v>19</v>
      </c>
      <c r="H62" s="1" t="s">
        <v>369</v>
      </c>
    </row>
    <row r="63" spans="1:9" hidden="1">
      <c r="A63" s="1">
        <v>62</v>
      </c>
      <c r="B63" s="1" t="s">
        <v>16</v>
      </c>
      <c r="C63" s="1" t="s">
        <v>185</v>
      </c>
      <c r="D63" s="1" t="s">
        <v>184</v>
      </c>
      <c r="E63" s="5" t="s">
        <v>186</v>
      </c>
      <c r="F63" s="1" t="s">
        <v>19</v>
      </c>
      <c r="H63" s="1" t="s">
        <v>370</v>
      </c>
    </row>
    <row r="64" spans="1:9" hidden="1">
      <c r="A64" s="1">
        <v>63</v>
      </c>
      <c r="B64" s="1" t="s">
        <v>16</v>
      </c>
      <c r="C64" s="1" t="s">
        <v>188</v>
      </c>
      <c r="D64" s="1" t="s">
        <v>187</v>
      </c>
      <c r="E64" s="5" t="s">
        <v>189</v>
      </c>
      <c r="F64" s="1" t="s">
        <v>19</v>
      </c>
      <c r="H64" s="1" t="s">
        <v>371</v>
      </c>
    </row>
    <row r="65" spans="1:8" hidden="1">
      <c r="A65" s="1">
        <v>64</v>
      </c>
      <c r="B65" s="1" t="s">
        <v>16</v>
      </c>
      <c r="C65" s="1" t="s">
        <v>191</v>
      </c>
      <c r="D65" s="1" t="s">
        <v>190</v>
      </c>
      <c r="E65" s="5" t="s">
        <v>192</v>
      </c>
      <c r="F65" s="1" t="s">
        <v>19</v>
      </c>
      <c r="H65" s="1" t="s">
        <v>372</v>
      </c>
    </row>
    <row r="66" spans="1:8" hidden="1">
      <c r="A66" s="1">
        <v>65</v>
      </c>
      <c r="B66" s="1" t="s">
        <v>16</v>
      </c>
      <c r="C66" s="1" t="s">
        <v>194</v>
      </c>
      <c r="D66" s="1" t="s">
        <v>193</v>
      </c>
      <c r="E66" s="5" t="s">
        <v>195</v>
      </c>
      <c r="F66" s="1" t="s">
        <v>19</v>
      </c>
      <c r="H66" s="1" t="s">
        <v>373</v>
      </c>
    </row>
    <row r="67" spans="1:8" hidden="1">
      <c r="A67" s="1">
        <v>66</v>
      </c>
      <c r="B67" s="1" t="s">
        <v>16</v>
      </c>
      <c r="C67" s="1" t="s">
        <v>197</v>
      </c>
      <c r="D67" s="1" t="s">
        <v>196</v>
      </c>
      <c r="E67" s="5" t="s">
        <v>198</v>
      </c>
      <c r="F67" s="1" t="s">
        <v>19</v>
      </c>
      <c r="H67" s="1" t="s">
        <v>374</v>
      </c>
    </row>
    <row r="68" spans="1:8" hidden="1">
      <c r="A68" s="1">
        <v>67</v>
      </c>
      <c r="B68" s="1" t="s">
        <v>16</v>
      </c>
      <c r="C68" s="1" t="s">
        <v>200</v>
      </c>
      <c r="D68" s="1" t="s">
        <v>199</v>
      </c>
      <c r="E68" s="5" t="s">
        <v>201</v>
      </c>
      <c r="F68" s="1" t="s">
        <v>19</v>
      </c>
      <c r="H68" s="1" t="s">
        <v>375</v>
      </c>
    </row>
    <row r="69" spans="1:8" hidden="1">
      <c r="A69" s="1">
        <v>68</v>
      </c>
      <c r="B69" s="1" t="s">
        <v>16</v>
      </c>
      <c r="C69" s="1" t="s">
        <v>203</v>
      </c>
      <c r="D69" s="1" t="s">
        <v>202</v>
      </c>
      <c r="E69" s="5" t="s">
        <v>204</v>
      </c>
      <c r="F69" s="1" t="s">
        <v>19</v>
      </c>
      <c r="H69" s="1" t="s">
        <v>376</v>
      </c>
    </row>
    <row r="70" spans="1:8" hidden="1">
      <c r="A70" s="1">
        <v>69</v>
      </c>
      <c r="B70" s="1" t="s">
        <v>16</v>
      </c>
      <c r="C70" s="1" t="s">
        <v>206</v>
      </c>
      <c r="D70" s="1" t="s">
        <v>205</v>
      </c>
      <c r="E70" s="5" t="s">
        <v>207</v>
      </c>
      <c r="F70" s="1" t="s">
        <v>19</v>
      </c>
      <c r="H70" s="1" t="s">
        <v>377</v>
      </c>
    </row>
    <row r="71" spans="1:8">
      <c r="A71" s="1">
        <v>70</v>
      </c>
      <c r="B71" s="1" t="s">
        <v>209</v>
      </c>
      <c r="C71" s="1" t="s">
        <v>210</v>
      </c>
      <c r="D71" s="2" t="s">
        <v>208</v>
      </c>
      <c r="E71" s="5" t="s">
        <v>48</v>
      </c>
      <c r="F71" s="1" t="s">
        <v>49</v>
      </c>
      <c r="H71" s="7" t="s">
        <v>258</v>
      </c>
    </row>
    <row r="72" spans="1:8">
      <c r="A72" s="1">
        <v>71</v>
      </c>
      <c r="B72" s="1" t="s">
        <v>16</v>
      </c>
      <c r="C72" s="1" t="s">
        <v>212</v>
      </c>
      <c r="D72" s="1" t="s">
        <v>211</v>
      </c>
      <c r="E72" s="5" t="s">
        <v>213</v>
      </c>
      <c r="F72" s="1" t="s">
        <v>14</v>
      </c>
      <c r="H72" s="7" t="s">
        <v>258</v>
      </c>
    </row>
    <row r="73" spans="1:8">
      <c r="A73" s="1">
        <v>72</v>
      </c>
      <c r="B73" s="1" t="s">
        <v>16</v>
      </c>
      <c r="C73" s="1" t="s">
        <v>215</v>
      </c>
      <c r="D73" s="1" t="s">
        <v>214</v>
      </c>
      <c r="E73" s="5" t="s">
        <v>216</v>
      </c>
      <c r="F73" s="1" t="s">
        <v>19</v>
      </c>
      <c r="H73" s="1"/>
    </row>
    <row r="74" spans="1:8">
      <c r="A74" s="1">
        <v>73</v>
      </c>
      <c r="B74" s="1" t="s">
        <v>16</v>
      </c>
      <c r="C74" s="1" t="s">
        <v>218</v>
      </c>
      <c r="D74" s="1" t="s">
        <v>217</v>
      </c>
      <c r="E74" s="5" t="s">
        <v>219</v>
      </c>
      <c r="F74" s="1" t="s">
        <v>14</v>
      </c>
      <c r="H74" s="7" t="s">
        <v>258</v>
      </c>
    </row>
    <row r="75" spans="1:8">
      <c r="A75" s="1">
        <v>74</v>
      </c>
      <c r="B75" s="1" t="s">
        <v>16</v>
      </c>
      <c r="C75" s="1" t="s">
        <v>221</v>
      </c>
      <c r="D75" s="2" t="s">
        <v>220</v>
      </c>
      <c r="E75" s="5" t="s">
        <v>9</v>
      </c>
      <c r="F75" s="1" t="s">
        <v>9</v>
      </c>
      <c r="H75" s="7" t="s">
        <v>258</v>
      </c>
    </row>
    <row r="76" spans="1:8">
      <c r="A76" s="1">
        <v>75</v>
      </c>
      <c r="B76" s="13" t="s">
        <v>282</v>
      </c>
      <c r="C76" s="13" t="s">
        <v>283</v>
      </c>
      <c r="D76" s="13" t="s">
        <v>281</v>
      </c>
      <c r="E76" s="15">
        <v>1240</v>
      </c>
      <c r="F76" s="2" t="s">
        <v>19</v>
      </c>
      <c r="H76" s="5"/>
    </row>
    <row r="77" spans="1:8">
      <c r="A77" s="1">
        <v>76</v>
      </c>
      <c r="B77" s="1" t="s">
        <v>223</v>
      </c>
      <c r="C77" s="1" t="s">
        <v>224</v>
      </c>
      <c r="D77" s="1" t="s">
        <v>222</v>
      </c>
      <c r="E77" s="5" t="s">
        <v>9</v>
      </c>
      <c r="F77" s="1" t="s">
        <v>36</v>
      </c>
      <c r="H77" s="7" t="s">
        <v>269</v>
      </c>
    </row>
    <row r="78" spans="1:8" hidden="1">
      <c r="A78" s="1">
        <v>77</v>
      </c>
      <c r="B78" s="1" t="s">
        <v>117</v>
      </c>
      <c r="C78" s="1" t="s">
        <v>226</v>
      </c>
      <c r="D78" s="1" t="s">
        <v>225</v>
      </c>
      <c r="E78" s="5" t="s">
        <v>227</v>
      </c>
      <c r="F78" s="1" t="s">
        <v>19</v>
      </c>
      <c r="H78" s="1" t="s">
        <v>378</v>
      </c>
    </row>
    <row r="79" spans="1:8" hidden="1">
      <c r="A79" s="1">
        <v>78</v>
      </c>
      <c r="B79" s="1" t="s">
        <v>117</v>
      </c>
      <c r="C79" s="1" t="s">
        <v>229</v>
      </c>
      <c r="D79" s="1" t="s">
        <v>228</v>
      </c>
      <c r="E79" s="5" t="s">
        <v>230</v>
      </c>
      <c r="F79" s="1" t="s">
        <v>19</v>
      </c>
      <c r="H79" s="1" t="s">
        <v>380</v>
      </c>
    </row>
    <row r="80" spans="1:8" hidden="1">
      <c r="A80" s="1">
        <v>79</v>
      </c>
      <c r="B80" s="1" t="s">
        <v>117</v>
      </c>
      <c r="C80" s="1" t="s">
        <v>232</v>
      </c>
      <c r="D80" s="1" t="s">
        <v>231</v>
      </c>
      <c r="E80" s="5" t="s">
        <v>233</v>
      </c>
      <c r="F80" s="1" t="s">
        <v>19</v>
      </c>
      <c r="H80" s="1" t="s">
        <v>379</v>
      </c>
    </row>
    <row r="81" spans="1:8" hidden="1">
      <c r="A81" s="1">
        <v>80</v>
      </c>
      <c r="B81" s="1" t="s">
        <v>117</v>
      </c>
      <c r="C81" s="1" t="s">
        <v>235</v>
      </c>
      <c r="D81" s="1" t="s">
        <v>234</v>
      </c>
      <c r="E81" s="5" t="s">
        <v>236</v>
      </c>
      <c r="F81" s="1" t="s">
        <v>19</v>
      </c>
      <c r="H81" s="1" t="s">
        <v>381</v>
      </c>
    </row>
    <row r="82" spans="1:8" hidden="1">
      <c r="A82" s="1">
        <v>81</v>
      </c>
      <c r="B82" s="1" t="s">
        <v>117</v>
      </c>
      <c r="C82" s="1" t="s">
        <v>143</v>
      </c>
      <c r="D82" s="1" t="s">
        <v>142</v>
      </c>
      <c r="E82" s="5" t="s">
        <v>144</v>
      </c>
      <c r="F82" s="1" t="s">
        <v>19</v>
      </c>
      <c r="H82" s="1" t="s">
        <v>382</v>
      </c>
    </row>
    <row r="83" spans="1:8">
      <c r="A83" s="1">
        <v>82</v>
      </c>
      <c r="B83" s="1" t="s">
        <v>238</v>
      </c>
      <c r="C83" s="1" t="s">
        <v>239</v>
      </c>
      <c r="D83" s="1" t="s">
        <v>237</v>
      </c>
      <c r="E83" s="5" t="s">
        <v>240</v>
      </c>
      <c r="F83" s="1" t="s">
        <v>19</v>
      </c>
      <c r="H83" s="1"/>
    </row>
    <row r="84" spans="1:8" hidden="1">
      <c r="A84" s="1">
        <v>83</v>
      </c>
      <c r="B84" s="1" t="s">
        <v>169</v>
      </c>
      <c r="C84" s="1" t="s">
        <v>242</v>
      </c>
      <c r="D84" s="1" t="s">
        <v>241</v>
      </c>
      <c r="E84" s="5" t="s">
        <v>48</v>
      </c>
      <c r="F84" s="1" t="s">
        <v>49</v>
      </c>
      <c r="H84" s="4" t="s">
        <v>352</v>
      </c>
    </row>
    <row r="85" spans="1:8">
      <c r="A85" s="1">
        <v>84</v>
      </c>
      <c r="B85" s="1" t="s">
        <v>77</v>
      </c>
      <c r="C85" s="1" t="s">
        <v>244</v>
      </c>
      <c r="D85" s="1" t="s">
        <v>243</v>
      </c>
      <c r="E85" s="5" t="s">
        <v>245</v>
      </c>
      <c r="F85" s="1" t="s">
        <v>19</v>
      </c>
      <c r="H85" s="1"/>
    </row>
  </sheetData>
  <autoFilter ref="A1:K85">
    <filterColumn colId="7">
      <filters blank="1">
        <filter val="cannot FIND ALT MPN"/>
        <filter val="cannot FIND ALT MPN with same PINOUT"/>
        <filter val="MPI4020V2-220-R (different footprint size)"/>
        <filter val="TC7SH08FU,LJ(CT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opLeftCell="A13" workbookViewId="0">
      <selection activeCell="F21" sqref="F21"/>
    </sheetView>
  </sheetViews>
  <sheetFormatPr defaultRowHeight="14.4"/>
  <cols>
    <col min="1" max="1" width="39.33203125" style="12" customWidth="1"/>
    <col min="2" max="2" width="8" style="12" bestFit="1" customWidth="1"/>
    <col min="3" max="3" width="35.33203125" style="12" bestFit="1" customWidth="1"/>
    <col min="4" max="4" width="23.6640625" style="12" bestFit="1" customWidth="1"/>
    <col min="5" max="16384" width="8.88671875" style="11"/>
  </cols>
  <sheetData>
    <row r="1" spans="1:5">
      <c r="A1" s="12" t="s">
        <v>3</v>
      </c>
      <c r="B1" s="12" t="s">
        <v>348</v>
      </c>
      <c r="C1" s="12" t="s">
        <v>347</v>
      </c>
      <c r="D1" s="12" t="s">
        <v>346</v>
      </c>
    </row>
    <row r="2" spans="1:5">
      <c r="A2" s="12" t="s">
        <v>8</v>
      </c>
      <c r="B2" s="12">
        <v>1</v>
      </c>
      <c r="C2" s="12" t="s">
        <v>7</v>
      </c>
      <c r="D2" s="12" t="s">
        <v>6</v>
      </c>
    </row>
    <row r="3" spans="1:5">
      <c r="A3" s="12" t="s">
        <v>12</v>
      </c>
      <c r="B3" s="12">
        <v>1</v>
      </c>
      <c r="C3" s="12" t="s">
        <v>345</v>
      </c>
      <c r="D3" s="12" t="s">
        <v>10</v>
      </c>
    </row>
    <row r="4" spans="1:5">
      <c r="A4" s="12" t="s">
        <v>17</v>
      </c>
      <c r="B4" s="12">
        <v>2</v>
      </c>
      <c r="C4" s="12" t="s">
        <v>290</v>
      </c>
      <c r="D4" s="12" t="s">
        <v>15</v>
      </c>
      <c r="E4" s="11" t="str">
        <f>IF(ISERROR(VLOOKUP(D4,bom!D27:D85, 1, FALSE)),"Not Exist","Exist" )</f>
        <v>Not Exist</v>
      </c>
    </row>
    <row r="5" spans="1:5">
      <c r="A5" s="12" t="s">
        <v>21</v>
      </c>
      <c r="B5" s="12">
        <v>2</v>
      </c>
      <c r="C5" s="12" t="s">
        <v>284</v>
      </c>
      <c r="D5" s="12" t="s">
        <v>20</v>
      </c>
      <c r="E5" s="11" t="str">
        <f>IF(ISERROR(VLOOKUP(D5,bom!D28:D86, 1, FALSE)),"Not Exist","Exist" )</f>
        <v>Not Exist</v>
      </c>
    </row>
    <row r="6" spans="1:5">
      <c r="A6" s="12" t="s">
        <v>25</v>
      </c>
      <c r="B6" s="12">
        <v>22</v>
      </c>
      <c r="C6" s="12" t="s">
        <v>344</v>
      </c>
      <c r="D6" s="12" t="s">
        <v>23</v>
      </c>
    </row>
    <row r="7" spans="1:5">
      <c r="A7" s="12" t="s">
        <v>29</v>
      </c>
      <c r="B7" s="12">
        <v>2</v>
      </c>
      <c r="C7" s="12" t="s">
        <v>343</v>
      </c>
      <c r="D7" s="12" t="s">
        <v>342</v>
      </c>
    </row>
    <row r="8" spans="1:5">
      <c r="A8" s="12" t="s">
        <v>32</v>
      </c>
      <c r="B8" s="12">
        <v>2</v>
      </c>
      <c r="C8" s="12" t="s">
        <v>290</v>
      </c>
      <c r="D8" s="12" t="s">
        <v>31</v>
      </c>
    </row>
    <row r="9" spans="1:5">
      <c r="A9" s="12" t="s">
        <v>35</v>
      </c>
      <c r="B9" s="12">
        <v>2</v>
      </c>
      <c r="C9" s="12" t="s">
        <v>290</v>
      </c>
      <c r="D9" s="12" t="s">
        <v>34</v>
      </c>
    </row>
    <row r="10" spans="1:5">
      <c r="A10" s="12" t="s">
        <v>39</v>
      </c>
      <c r="B10" s="12">
        <v>2</v>
      </c>
      <c r="C10" s="12" t="s">
        <v>38</v>
      </c>
      <c r="D10" s="12" t="s">
        <v>37</v>
      </c>
    </row>
    <row r="11" spans="1:5">
      <c r="A11" s="12" t="s">
        <v>42</v>
      </c>
      <c r="B11" s="12">
        <v>2</v>
      </c>
      <c r="C11" s="12" t="s">
        <v>290</v>
      </c>
      <c r="D11" s="12" t="s">
        <v>41</v>
      </c>
    </row>
    <row r="12" spans="1:5">
      <c r="A12" s="12" t="s">
        <v>44</v>
      </c>
      <c r="B12" s="12">
        <v>2</v>
      </c>
      <c r="C12" s="12" t="s">
        <v>290</v>
      </c>
      <c r="D12" s="12" t="s">
        <v>43</v>
      </c>
    </row>
    <row r="13" spans="1:5">
      <c r="A13" s="12" t="s">
        <v>47</v>
      </c>
      <c r="B13" s="12">
        <v>2</v>
      </c>
      <c r="C13" s="12" t="s">
        <v>290</v>
      </c>
      <c r="D13" s="12" t="s">
        <v>46</v>
      </c>
    </row>
    <row r="14" spans="1:5">
      <c r="A14" s="12" t="s">
        <v>51</v>
      </c>
      <c r="B14" s="12">
        <v>1</v>
      </c>
      <c r="C14" s="12" t="s">
        <v>290</v>
      </c>
      <c r="D14" s="12" t="s">
        <v>50</v>
      </c>
    </row>
    <row r="15" spans="1:5">
      <c r="A15" s="12" t="s">
        <v>341</v>
      </c>
      <c r="B15" s="12">
        <v>5</v>
      </c>
      <c r="C15" s="12" t="s">
        <v>340</v>
      </c>
      <c r="D15" s="12" t="s">
        <v>53</v>
      </c>
    </row>
    <row r="16" spans="1:5">
      <c r="A16" s="12" t="s">
        <v>58</v>
      </c>
      <c r="B16" s="12">
        <v>1</v>
      </c>
      <c r="C16" s="12" t="s">
        <v>28</v>
      </c>
      <c r="D16" s="12" t="s">
        <v>339</v>
      </c>
    </row>
    <row r="17" spans="1:4">
      <c r="A17" s="12" t="s">
        <v>338</v>
      </c>
      <c r="B17" s="12">
        <v>2</v>
      </c>
      <c r="C17" s="12" t="s">
        <v>336</v>
      </c>
      <c r="D17" s="12">
        <v>901200122</v>
      </c>
    </row>
    <row r="18" spans="1:4">
      <c r="A18" s="12" t="s">
        <v>337</v>
      </c>
      <c r="B18" s="12">
        <v>2</v>
      </c>
      <c r="C18" s="12" t="s">
        <v>336</v>
      </c>
      <c r="D18" s="12">
        <v>22284070</v>
      </c>
    </row>
    <row r="19" spans="1:4">
      <c r="A19" s="12" t="s">
        <v>335</v>
      </c>
      <c r="B19" s="12">
        <v>1</v>
      </c>
      <c r="C19" s="12" t="s">
        <v>334</v>
      </c>
      <c r="D19" s="12" t="s">
        <v>67</v>
      </c>
    </row>
    <row r="20" spans="1:4">
      <c r="A20" s="12" t="s">
        <v>333</v>
      </c>
      <c r="B20" s="12">
        <v>1</v>
      </c>
      <c r="C20" s="12" t="s">
        <v>332</v>
      </c>
      <c r="D20" s="12" t="s">
        <v>71</v>
      </c>
    </row>
    <row r="21" spans="1:4">
      <c r="A21" s="12" t="s">
        <v>331</v>
      </c>
      <c r="B21" s="12">
        <v>1</v>
      </c>
      <c r="C21" s="12" t="s">
        <v>77</v>
      </c>
      <c r="D21" s="12" t="s">
        <v>76</v>
      </c>
    </row>
    <row r="22" spans="1:4">
      <c r="A22" s="12" t="s">
        <v>81</v>
      </c>
      <c r="B22" s="12">
        <v>1</v>
      </c>
      <c r="C22" s="12" t="s">
        <v>284</v>
      </c>
      <c r="D22" s="12" t="s">
        <v>80</v>
      </c>
    </row>
    <row r="23" spans="1:4">
      <c r="A23" s="12" t="s">
        <v>330</v>
      </c>
      <c r="B23" s="12">
        <v>2</v>
      </c>
      <c r="C23" s="12" t="s">
        <v>290</v>
      </c>
      <c r="D23" s="12" t="s">
        <v>83</v>
      </c>
    </row>
    <row r="24" spans="1:4">
      <c r="A24" s="12" t="s">
        <v>87</v>
      </c>
      <c r="B24" s="12">
        <v>1</v>
      </c>
      <c r="C24" s="12" t="s">
        <v>86</v>
      </c>
      <c r="D24" s="12" t="s">
        <v>85</v>
      </c>
    </row>
    <row r="25" spans="1:4">
      <c r="A25" s="12" t="s">
        <v>329</v>
      </c>
      <c r="B25" s="12">
        <v>5</v>
      </c>
      <c r="C25" s="12" t="s">
        <v>282</v>
      </c>
      <c r="D25" s="12" t="s">
        <v>88</v>
      </c>
    </row>
    <row r="26" spans="1:4">
      <c r="A26" s="12" t="s">
        <v>328</v>
      </c>
      <c r="B26" s="12">
        <v>1</v>
      </c>
      <c r="C26" s="12" t="s">
        <v>282</v>
      </c>
      <c r="D26" s="18" t="s">
        <v>92</v>
      </c>
    </row>
    <row r="27" spans="1:4">
      <c r="A27" s="12" t="s">
        <v>327</v>
      </c>
      <c r="B27" s="12">
        <v>1</v>
      </c>
      <c r="C27" s="12" t="s">
        <v>326</v>
      </c>
      <c r="D27" s="12" t="s">
        <v>94</v>
      </c>
    </row>
    <row r="28" spans="1:4">
      <c r="A28" s="12" t="s">
        <v>99</v>
      </c>
      <c r="B28" s="12">
        <v>3</v>
      </c>
      <c r="C28" s="12" t="s">
        <v>98</v>
      </c>
      <c r="D28" s="12" t="s">
        <v>97</v>
      </c>
    </row>
    <row r="29" spans="1:4">
      <c r="A29" s="12" t="s">
        <v>325</v>
      </c>
      <c r="B29" s="12">
        <v>2</v>
      </c>
      <c r="C29" s="12" t="s">
        <v>102</v>
      </c>
      <c r="D29" s="12" t="s">
        <v>101</v>
      </c>
    </row>
    <row r="30" spans="1:4">
      <c r="A30" s="12" t="s">
        <v>324</v>
      </c>
      <c r="B30" s="12">
        <v>2</v>
      </c>
      <c r="C30" s="12" t="s">
        <v>106</v>
      </c>
      <c r="D30" s="12" t="s">
        <v>105</v>
      </c>
    </row>
    <row r="31" spans="1:4">
      <c r="A31" s="12" t="s">
        <v>323</v>
      </c>
      <c r="B31" s="12">
        <v>4</v>
      </c>
      <c r="C31" s="12" t="s">
        <v>110</v>
      </c>
      <c r="D31" s="12" t="s">
        <v>109</v>
      </c>
    </row>
    <row r="32" spans="1:4">
      <c r="A32" s="12" t="s">
        <v>322</v>
      </c>
      <c r="B32" s="12">
        <v>2</v>
      </c>
      <c r="C32" s="12" t="s">
        <v>110</v>
      </c>
      <c r="D32" s="12" t="s">
        <v>112</v>
      </c>
    </row>
    <row r="33" spans="1:4">
      <c r="A33" s="12" t="s">
        <v>321</v>
      </c>
      <c r="B33" s="12">
        <v>1</v>
      </c>
      <c r="C33" s="12" t="s">
        <v>320</v>
      </c>
      <c r="D33" s="12" t="s">
        <v>114</v>
      </c>
    </row>
    <row r="34" spans="1:4">
      <c r="A34" s="12" t="s">
        <v>319</v>
      </c>
      <c r="B34" s="12">
        <v>5</v>
      </c>
      <c r="C34" s="12" t="s">
        <v>274</v>
      </c>
      <c r="D34" s="12" t="s">
        <v>116</v>
      </c>
    </row>
    <row r="35" spans="1:4">
      <c r="A35" s="12" t="s">
        <v>318</v>
      </c>
      <c r="B35" s="12">
        <v>2</v>
      </c>
      <c r="C35" s="12" t="s">
        <v>274</v>
      </c>
      <c r="D35" s="12" t="s">
        <v>120</v>
      </c>
    </row>
    <row r="36" spans="1:4">
      <c r="A36" s="12" t="s">
        <v>317</v>
      </c>
      <c r="B36" s="12">
        <v>3</v>
      </c>
      <c r="C36" s="12" t="s">
        <v>124</v>
      </c>
      <c r="D36" s="12" t="s">
        <v>123</v>
      </c>
    </row>
    <row r="37" spans="1:4">
      <c r="A37" s="12" t="s">
        <v>128</v>
      </c>
      <c r="B37" s="12">
        <v>10</v>
      </c>
      <c r="C37" s="12" t="s">
        <v>316</v>
      </c>
      <c r="D37" s="12" t="s">
        <v>126</v>
      </c>
    </row>
    <row r="38" spans="1:4">
      <c r="A38" s="12" t="s">
        <v>131</v>
      </c>
      <c r="B38" s="12">
        <v>6</v>
      </c>
      <c r="C38" s="12" t="s">
        <v>110</v>
      </c>
      <c r="D38" s="12" t="s">
        <v>130</v>
      </c>
    </row>
    <row r="39" spans="1:4">
      <c r="A39" s="12" t="s">
        <v>133</v>
      </c>
      <c r="B39" s="12">
        <v>2</v>
      </c>
      <c r="C39" s="12" t="s">
        <v>124</v>
      </c>
      <c r="D39" s="12" t="s">
        <v>132</v>
      </c>
    </row>
    <row r="40" spans="1:4">
      <c r="A40" s="12" t="s">
        <v>136</v>
      </c>
      <c r="B40" s="12">
        <v>1</v>
      </c>
      <c r="C40" s="12" t="s">
        <v>315</v>
      </c>
      <c r="D40" s="12" t="s">
        <v>314</v>
      </c>
    </row>
    <row r="41" spans="1:4">
      <c r="A41" s="12" t="s">
        <v>139</v>
      </c>
      <c r="B41" s="12">
        <v>1</v>
      </c>
      <c r="C41" s="12" t="s">
        <v>110</v>
      </c>
      <c r="D41" s="12" t="s">
        <v>138</v>
      </c>
    </row>
    <row r="42" spans="1:4">
      <c r="A42" s="12" t="s">
        <v>141</v>
      </c>
      <c r="B42" s="12">
        <v>3</v>
      </c>
      <c r="C42" s="12" t="s">
        <v>313</v>
      </c>
      <c r="D42" s="12" t="s">
        <v>140</v>
      </c>
    </row>
    <row r="43" spans="1:4">
      <c r="A43" s="12" t="s">
        <v>275</v>
      </c>
      <c r="B43" s="12">
        <v>9</v>
      </c>
      <c r="C43" s="12" t="s">
        <v>274</v>
      </c>
      <c r="D43" s="12" t="s">
        <v>142</v>
      </c>
    </row>
    <row r="44" spans="1:4">
      <c r="A44" s="12" t="s">
        <v>146</v>
      </c>
      <c r="B44" s="12">
        <v>1</v>
      </c>
      <c r="C44" s="12" t="s">
        <v>124</v>
      </c>
      <c r="D44" s="12" t="s">
        <v>145</v>
      </c>
    </row>
    <row r="45" spans="1:4">
      <c r="A45" s="12" t="s">
        <v>149</v>
      </c>
      <c r="B45" s="12">
        <v>1</v>
      </c>
      <c r="C45" s="12" t="s">
        <v>274</v>
      </c>
      <c r="D45" s="12" t="s">
        <v>148</v>
      </c>
    </row>
    <row r="46" spans="1:4">
      <c r="A46" s="12" t="s">
        <v>152</v>
      </c>
      <c r="B46" s="12">
        <v>1</v>
      </c>
      <c r="C46" s="12" t="s">
        <v>124</v>
      </c>
      <c r="D46" s="12" t="s">
        <v>151</v>
      </c>
    </row>
    <row r="47" spans="1:4">
      <c r="A47" s="12" t="s">
        <v>154</v>
      </c>
      <c r="B47" s="12">
        <v>1</v>
      </c>
      <c r="C47" s="12" t="s">
        <v>124</v>
      </c>
      <c r="D47" s="12" t="s">
        <v>153</v>
      </c>
    </row>
    <row r="48" spans="1:4">
      <c r="A48" s="12" t="s">
        <v>156</v>
      </c>
      <c r="B48" s="12">
        <v>1</v>
      </c>
      <c r="C48" s="12" t="s">
        <v>124</v>
      </c>
      <c r="D48" s="12" t="s">
        <v>155</v>
      </c>
    </row>
    <row r="49" spans="1:4">
      <c r="A49" s="12" t="s">
        <v>158</v>
      </c>
      <c r="B49" s="12">
        <v>2</v>
      </c>
      <c r="C49" s="12" t="s">
        <v>124</v>
      </c>
      <c r="D49" s="12" t="s">
        <v>157</v>
      </c>
    </row>
    <row r="50" spans="1:4">
      <c r="A50" s="12" t="s">
        <v>312</v>
      </c>
      <c r="B50" s="12">
        <v>6</v>
      </c>
      <c r="C50" s="12" t="s">
        <v>274</v>
      </c>
      <c r="D50" s="12" t="s">
        <v>159</v>
      </c>
    </row>
    <row r="51" spans="1:4">
      <c r="A51" s="12" t="s">
        <v>163</v>
      </c>
      <c r="B51" s="12">
        <v>1</v>
      </c>
      <c r="C51" s="12" t="s">
        <v>124</v>
      </c>
      <c r="D51" s="12" t="s">
        <v>162</v>
      </c>
    </row>
    <row r="52" spans="1:4">
      <c r="A52" s="12" t="s">
        <v>166</v>
      </c>
      <c r="B52" s="12">
        <v>3</v>
      </c>
      <c r="C52" s="12" t="s">
        <v>311</v>
      </c>
      <c r="D52" s="12" t="s">
        <v>164</v>
      </c>
    </row>
    <row r="53" spans="1:4">
      <c r="A53" s="12" t="s">
        <v>310</v>
      </c>
      <c r="B53" s="12">
        <v>1</v>
      </c>
      <c r="C53" s="12" t="s">
        <v>309</v>
      </c>
      <c r="D53" s="12" t="s">
        <v>308</v>
      </c>
    </row>
    <row r="54" spans="1:4">
      <c r="A54" s="12" t="s">
        <v>307</v>
      </c>
      <c r="B54" s="12">
        <v>2</v>
      </c>
      <c r="C54" s="12" t="s">
        <v>169</v>
      </c>
      <c r="D54" s="12" t="s">
        <v>168</v>
      </c>
    </row>
    <row r="55" spans="1:4">
      <c r="A55" s="12" t="s">
        <v>306</v>
      </c>
      <c r="B55" s="12">
        <v>2</v>
      </c>
      <c r="C55" s="12" t="s">
        <v>305</v>
      </c>
      <c r="D55" s="12" t="s">
        <v>304</v>
      </c>
    </row>
    <row r="56" spans="1:4">
      <c r="A56" s="12" t="s">
        <v>303</v>
      </c>
      <c r="B56" s="12">
        <v>4</v>
      </c>
      <c r="C56" s="12" t="s">
        <v>302</v>
      </c>
      <c r="D56" s="12" t="s">
        <v>301</v>
      </c>
    </row>
    <row r="57" spans="1:4">
      <c r="A57" s="12" t="s">
        <v>300</v>
      </c>
      <c r="B57" s="12">
        <v>2</v>
      </c>
      <c r="C57" s="12" t="s">
        <v>172</v>
      </c>
      <c r="D57" s="12" t="s">
        <v>171</v>
      </c>
    </row>
    <row r="58" spans="1:4">
      <c r="A58" s="12" t="s">
        <v>176</v>
      </c>
      <c r="B58" s="12">
        <v>2</v>
      </c>
      <c r="C58" s="12" t="s">
        <v>299</v>
      </c>
      <c r="D58" s="12" t="s">
        <v>174</v>
      </c>
    </row>
    <row r="59" spans="1:4">
      <c r="A59" s="12" t="s">
        <v>298</v>
      </c>
      <c r="B59" s="12">
        <v>3</v>
      </c>
      <c r="C59" s="12" t="s">
        <v>86</v>
      </c>
      <c r="D59" s="12" t="s">
        <v>178</v>
      </c>
    </row>
    <row r="60" spans="1:4">
      <c r="A60" s="12" t="s">
        <v>297</v>
      </c>
      <c r="B60" s="12">
        <v>1</v>
      </c>
      <c r="C60" s="12" t="s">
        <v>296</v>
      </c>
      <c r="D60" s="12" t="s">
        <v>295</v>
      </c>
    </row>
    <row r="61" spans="1:4">
      <c r="A61" s="12" t="s">
        <v>294</v>
      </c>
      <c r="B61" s="12">
        <v>2</v>
      </c>
      <c r="C61" s="12" t="s">
        <v>293</v>
      </c>
      <c r="D61" s="12" t="s">
        <v>292</v>
      </c>
    </row>
    <row r="62" spans="1:4">
      <c r="A62" s="12" t="s">
        <v>182</v>
      </c>
      <c r="B62" s="12">
        <v>2</v>
      </c>
      <c r="C62" s="12" t="s">
        <v>290</v>
      </c>
      <c r="D62" s="12" t="s">
        <v>181</v>
      </c>
    </row>
    <row r="63" spans="1:4">
      <c r="A63" s="12" t="s">
        <v>185</v>
      </c>
      <c r="B63" s="12">
        <v>12</v>
      </c>
      <c r="C63" s="12" t="s">
        <v>290</v>
      </c>
      <c r="D63" s="12" t="s">
        <v>184</v>
      </c>
    </row>
    <row r="64" spans="1:4">
      <c r="A64" s="12" t="s">
        <v>188</v>
      </c>
      <c r="B64" s="12">
        <v>2</v>
      </c>
      <c r="C64" s="12" t="s">
        <v>284</v>
      </c>
      <c r="D64" s="12" t="s">
        <v>187</v>
      </c>
    </row>
    <row r="65" spans="1:4">
      <c r="A65" s="12" t="s">
        <v>191</v>
      </c>
      <c r="B65" s="12">
        <v>6</v>
      </c>
      <c r="C65" s="12" t="s">
        <v>284</v>
      </c>
      <c r="D65" s="12" t="s">
        <v>190</v>
      </c>
    </row>
    <row r="66" spans="1:4">
      <c r="A66" s="12" t="s">
        <v>194</v>
      </c>
      <c r="B66" s="12">
        <v>2</v>
      </c>
      <c r="C66" s="12" t="s">
        <v>284</v>
      </c>
      <c r="D66" s="12" t="s">
        <v>193</v>
      </c>
    </row>
    <row r="67" spans="1:4">
      <c r="A67" s="12" t="s">
        <v>291</v>
      </c>
      <c r="B67" s="12">
        <v>4</v>
      </c>
      <c r="C67" s="12" t="s">
        <v>290</v>
      </c>
      <c r="D67" s="12" t="s">
        <v>196</v>
      </c>
    </row>
    <row r="68" spans="1:4">
      <c r="A68" s="12" t="s">
        <v>200</v>
      </c>
      <c r="B68" s="12">
        <v>4</v>
      </c>
      <c r="C68" s="12" t="s">
        <v>284</v>
      </c>
      <c r="D68" s="12" t="s">
        <v>199</v>
      </c>
    </row>
    <row r="69" spans="1:4">
      <c r="A69" s="12" t="s">
        <v>203</v>
      </c>
      <c r="B69" s="12">
        <v>2</v>
      </c>
      <c r="C69" s="12" t="s">
        <v>284</v>
      </c>
      <c r="D69" s="12" t="s">
        <v>202</v>
      </c>
    </row>
    <row r="70" spans="1:4">
      <c r="A70" s="12" t="s">
        <v>206</v>
      </c>
      <c r="B70" s="12">
        <v>2</v>
      </c>
      <c r="C70" s="12" t="s">
        <v>284</v>
      </c>
      <c r="D70" s="12" t="s">
        <v>205</v>
      </c>
    </row>
    <row r="71" spans="1:4">
      <c r="A71" s="12" t="s">
        <v>289</v>
      </c>
      <c r="B71" s="12">
        <v>2</v>
      </c>
      <c r="C71" s="12" t="s">
        <v>288</v>
      </c>
      <c r="D71" s="12" t="s">
        <v>208</v>
      </c>
    </row>
    <row r="72" spans="1:4">
      <c r="A72" s="12" t="s">
        <v>287</v>
      </c>
      <c r="B72" s="12">
        <v>2</v>
      </c>
      <c r="C72" s="12" t="s">
        <v>284</v>
      </c>
      <c r="D72" s="12" t="s">
        <v>211</v>
      </c>
    </row>
    <row r="73" spans="1:4">
      <c r="A73" s="12" t="s">
        <v>215</v>
      </c>
      <c r="B73" s="12">
        <v>2</v>
      </c>
      <c r="C73" s="12" t="s">
        <v>284</v>
      </c>
      <c r="D73" s="12" t="s">
        <v>214</v>
      </c>
    </row>
    <row r="74" spans="1:4">
      <c r="A74" s="12" t="s">
        <v>286</v>
      </c>
      <c r="B74" s="12">
        <v>2</v>
      </c>
      <c r="C74" s="12" t="s">
        <v>284</v>
      </c>
      <c r="D74" s="12" t="s">
        <v>217</v>
      </c>
    </row>
    <row r="75" spans="1:4">
      <c r="A75" s="12" t="s">
        <v>285</v>
      </c>
      <c r="B75" s="12">
        <v>2</v>
      </c>
      <c r="C75" s="12" t="s">
        <v>284</v>
      </c>
      <c r="D75" s="12" t="s">
        <v>220</v>
      </c>
    </row>
    <row r="76" spans="1:4">
      <c r="A76" s="12" t="s">
        <v>283</v>
      </c>
      <c r="B76" s="12">
        <v>2</v>
      </c>
      <c r="C76" s="12" t="s">
        <v>282</v>
      </c>
      <c r="D76" s="12" t="s">
        <v>281</v>
      </c>
    </row>
    <row r="77" spans="1:4">
      <c r="A77" s="12" t="s">
        <v>224</v>
      </c>
      <c r="B77" s="12">
        <v>2</v>
      </c>
      <c r="C77" s="12" t="s">
        <v>280</v>
      </c>
      <c r="D77" s="12" t="s">
        <v>222</v>
      </c>
    </row>
    <row r="78" spans="1:4">
      <c r="A78" s="12" t="s">
        <v>279</v>
      </c>
      <c r="B78" s="12">
        <v>2</v>
      </c>
      <c r="C78" s="12" t="s">
        <v>274</v>
      </c>
      <c r="D78" s="12" t="s">
        <v>225</v>
      </c>
    </row>
    <row r="79" spans="1:4">
      <c r="A79" s="12" t="s">
        <v>278</v>
      </c>
      <c r="B79" s="12">
        <v>2</v>
      </c>
      <c r="C79" s="12" t="s">
        <v>274</v>
      </c>
      <c r="D79" s="12" t="s">
        <v>228</v>
      </c>
    </row>
    <row r="80" spans="1:4">
      <c r="A80" s="12" t="s">
        <v>277</v>
      </c>
      <c r="B80" s="12">
        <v>2</v>
      </c>
      <c r="C80" s="12" t="s">
        <v>274</v>
      </c>
      <c r="D80" s="12" t="s">
        <v>231</v>
      </c>
    </row>
    <row r="81" spans="1:4">
      <c r="A81" s="12" t="s">
        <v>276</v>
      </c>
      <c r="B81" s="12">
        <v>2</v>
      </c>
      <c r="C81" s="12" t="s">
        <v>274</v>
      </c>
      <c r="D81" s="12" t="s">
        <v>234</v>
      </c>
    </row>
    <row r="82" spans="1:4">
      <c r="A82" s="12" t="s">
        <v>275</v>
      </c>
      <c r="B82" s="12">
        <v>4</v>
      </c>
      <c r="C82" s="12" t="s">
        <v>274</v>
      </c>
      <c r="D82" s="12" t="s">
        <v>142</v>
      </c>
    </row>
    <row r="83" spans="1:4">
      <c r="A83" s="12" t="s">
        <v>239</v>
      </c>
      <c r="B83" s="12">
        <v>2</v>
      </c>
      <c r="C83" s="12" t="s">
        <v>273</v>
      </c>
      <c r="D83" s="12" t="s">
        <v>237</v>
      </c>
    </row>
    <row r="84" spans="1:4">
      <c r="A84" s="12" t="s">
        <v>272</v>
      </c>
      <c r="B84" s="12">
        <v>3</v>
      </c>
      <c r="C84" s="12" t="s">
        <v>169</v>
      </c>
      <c r="D84" s="12" t="s">
        <v>241</v>
      </c>
    </row>
    <row r="85" spans="1:4">
      <c r="A85" s="12" t="s">
        <v>271</v>
      </c>
      <c r="B85" s="12">
        <v>2</v>
      </c>
      <c r="C85" s="12" t="s">
        <v>270</v>
      </c>
      <c r="D85" s="12" t="s">
        <v>243</v>
      </c>
    </row>
  </sheetData>
  <autoFilter ref="B1:D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My Lists Worksheet</vt:lpstr>
      <vt:lpstr>bom</vt:lpstr>
      <vt:lpstr>bom!Wilamp_DCU_2.0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Lorence Balucos</dc:creator>
  <cp:lastModifiedBy>Lorence Balucos</cp:lastModifiedBy>
  <dcterms:created xsi:type="dcterms:W3CDTF">2022-04-18T16:19:58Z</dcterms:created>
  <dcterms:modified xsi:type="dcterms:W3CDTF">2022-04-26T06:12:00Z</dcterms:modified>
</cp:coreProperties>
</file>